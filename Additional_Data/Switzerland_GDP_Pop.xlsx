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ium\X_Masterarbeit\Data\Master_Thesis\Additional_Data\"/>
    </mc:Choice>
  </mc:AlternateContent>
  <xr:revisionPtr revIDLastSave="0" documentId="13_ncr:1_{56A0B092-00DB-4145-8ABC-AEBFD816419A}" xr6:coauthVersionLast="47" xr6:coauthVersionMax="47" xr10:uidLastSave="{00000000-0000-0000-0000-000000000000}"/>
  <bookViews>
    <workbookView xWindow="1920" yWindow="1920" windowWidth="17280" windowHeight="9960" xr2:uid="{00000000-000D-0000-FFFF-FFFF00000000}"/>
  </bookViews>
  <sheets>
    <sheet name="BIP pro Kanton" sheetId="1" r:id="rId1"/>
    <sheet name="BIP pro Grossreg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</calcChain>
</file>

<file path=xl/sharedStrings.xml><?xml version="1.0" encoding="utf-8"?>
<sst xmlns="http://schemas.openxmlformats.org/spreadsheetml/2006/main" count="112" uniqueCount="49">
  <si>
    <t>2022p</t>
  </si>
  <si>
    <t>Zürich</t>
  </si>
  <si>
    <t>Bern</t>
  </si>
  <si>
    <t>Uri</t>
  </si>
  <si>
    <t>Schwyz</t>
  </si>
  <si>
    <t>Obwalden</t>
  </si>
  <si>
    <t>Nidwalden</t>
  </si>
  <si>
    <t>Glarus</t>
  </si>
  <si>
    <t>Zug</t>
  </si>
  <si>
    <t>Solothurn</t>
  </si>
  <si>
    <t>Basel-Stadt</t>
  </si>
  <si>
    <t>Basel-Landschaft</t>
  </si>
  <si>
    <t>Schaffhausen</t>
  </si>
  <si>
    <t>Graubünden</t>
  </si>
  <si>
    <t>Aargau</t>
  </si>
  <si>
    <t>Thurgau</t>
  </si>
  <si>
    <t>Tessin</t>
  </si>
  <si>
    <t>Jura</t>
  </si>
  <si>
    <t>Schweiz</t>
  </si>
  <si>
    <t/>
  </si>
  <si>
    <t>.</t>
  </si>
  <si>
    <t>Veränderung gegenüber dem Vorjahr in %, zu laufenden Preisen</t>
  </si>
  <si>
    <t>Veränderung gegenüber dem Vorjahr in %, zu Preisen des Vorjahres</t>
  </si>
  <si>
    <t xml:space="preserve"> </t>
  </si>
  <si>
    <t>Bundesamt für Statistik</t>
  </si>
  <si>
    <t>Auskünfte: 058 463 62 47, david.vetterli@bfs.admin.ch</t>
  </si>
  <si>
    <t>© OFS</t>
  </si>
  <si>
    <t>Bruttoinlandsprodukt (BIP) pro Grossregion</t>
  </si>
  <si>
    <t>Grossregion</t>
  </si>
  <si>
    <t>In Mio. CHF, zu laufenden Preisen</t>
  </si>
  <si>
    <t>Genferseeregion</t>
  </si>
  <si>
    <t>Espace Mittelland</t>
  </si>
  <si>
    <t>Nordwestschweiz</t>
  </si>
  <si>
    <t>Ostschweiz</t>
  </si>
  <si>
    <t>Zentralschweiz</t>
  </si>
  <si>
    <t>GDP 2022 (BFS)</t>
  </si>
  <si>
    <t>Population 1.1.2025 (BFS)</t>
  </si>
  <si>
    <t>Appenzell Ausserrhoden</t>
  </si>
  <si>
    <t>Appenzell Innerrhoden</t>
  </si>
  <si>
    <t>Sankt Gallen</t>
  </si>
  <si>
    <t>Lucerne</t>
  </si>
  <si>
    <t>Neuchâtel</t>
  </si>
  <si>
    <t>Genève</t>
  </si>
  <si>
    <t>Ticino</t>
  </si>
  <si>
    <t>Vaud</t>
  </si>
  <si>
    <t>Valais</t>
  </si>
  <si>
    <t>GDP per Capita</t>
  </si>
  <si>
    <t>Region</t>
  </si>
  <si>
    <t>Fribourg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</si>
</sst>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0"/>
    <numFmt numFmtId="165" formatCode="##0.0"/>
  </numFmts>
  <fonts count="25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8"/>
      <name val="Arial Narrow"/>
      <family val="2"/>
    </font>
    <font>
      <sz val="8"/>
      <color indexed="8"/>
      <name val="Arial"/>
      <family val="2"/>
    </font>
    <font>
      <sz val="8"/>
      <color indexed="8"/>
      <name val="Arial Narrow"/>
      <family val="2"/>
    </font>
    <font>
      <sz val="10"/>
      <color indexed="9"/>
      <name val="Arial"/>
      <family val="2"/>
    </font>
    <font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A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0" borderId="0"/>
  </cellStyleXfs>
  <cellXfs count="19">
    <xf numFmtId="0" fontId="0" fillId="0" borderId="0" xfId="0"/>
    <xf numFmtId="0" fontId="18" fillId="34" borderId="0" xfId="0" applyFont="1" applyFill="1" applyAlignment="1">
      <alignment horizontal="left"/>
    </xf>
    <xf numFmtId="0" fontId="0" fillId="33" borderId="0" xfId="0" applyFill="1"/>
    <xf numFmtId="0" fontId="19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21" fillId="34" borderId="0" xfId="0" applyFont="1" applyFill="1" applyAlignment="1">
      <alignment horizontal="left" wrapText="1"/>
    </xf>
    <xf numFmtId="164" fontId="22" fillId="34" borderId="0" xfId="0" applyNumberFormat="1" applyFont="1" applyFill="1" applyAlignment="1">
      <alignment horizontal="right" wrapText="1"/>
    </xf>
    <xf numFmtId="0" fontId="23" fillId="34" borderId="0" xfId="0" applyFont="1" applyFill="1" applyAlignment="1">
      <alignment horizontal="center" wrapText="1"/>
    </xf>
    <xf numFmtId="164" fontId="23" fillId="34" borderId="0" xfId="0" applyNumberFormat="1" applyFont="1" applyFill="1" applyAlignment="1">
      <alignment horizontal="right" wrapText="1"/>
    </xf>
    <xf numFmtId="165" fontId="22" fillId="34" borderId="0" xfId="0" applyNumberFormat="1" applyFont="1" applyFill="1" applyAlignment="1">
      <alignment horizontal="right" wrapText="1"/>
    </xf>
    <xf numFmtId="165" fontId="23" fillId="34" borderId="0" xfId="0" applyNumberFormat="1" applyFont="1" applyFill="1" applyAlignment="1">
      <alignment horizontal="right" wrapText="1"/>
    </xf>
    <xf numFmtId="0" fontId="0" fillId="34" borderId="0" xfId="0" applyFill="1"/>
    <xf numFmtId="0" fontId="18" fillId="34" borderId="0" xfId="0" applyFont="1" applyFill="1" applyAlignment="1">
      <alignment horizontal="left"/>
    </xf>
    <xf numFmtId="0" fontId="21" fillId="34" borderId="0" xfId="0" applyFont="1" applyFill="1" applyAlignment="1">
      <alignment horizontal="left" vertical="top"/>
    </xf>
    <xf numFmtId="0" fontId="21" fillId="34" borderId="0" xfId="0" applyFont="1" applyFill="1" applyAlignment="1">
      <alignment horizontal="left"/>
    </xf>
    <xf numFmtId="0" fontId="22" fillId="34" borderId="0" xfId="0" applyFont="1" applyFill="1" applyAlignment="1">
      <alignment horizontal="left"/>
    </xf>
    <xf numFmtId="0" fontId="21" fillId="35" borderId="0" xfId="0" applyFont="1" applyFill="1" applyAlignment="1">
      <alignment horizontal="left"/>
    </xf>
    <xf numFmtId="0" fontId="21" fillId="34" borderId="11" xfId="0" applyFont="1" applyFill="1" applyBorder="1" applyAlignment="1">
      <alignment horizontal="center" wrapText="1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Standard 2" xfId="42" xr:uid="{B8B65966-6326-4B98-B179-0D435DA00506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pane ySplit="1" topLeftCell="A4" activePane="bottomLeft" state="frozen"/>
      <selection pane="bottomLeft" activeCell="A11" sqref="A11"/>
    </sheetView>
  </sheetViews>
  <sheetFormatPr baseColWidth="10" defaultColWidth="10.59765625" defaultRowHeight="13.8" x14ac:dyDescent="0.25"/>
  <cols>
    <col min="1" max="1" width="45" style="2" bestFit="1" customWidth="1"/>
    <col min="2" max="2" width="13.5" style="2" bestFit="1" customWidth="1"/>
    <col min="3" max="16384" width="10.59765625" style="2"/>
  </cols>
  <sheetData>
    <row r="1" spans="1:9" ht="20.100000000000001" customHeight="1" x14ac:dyDescent="0.25">
      <c r="A1" s="1" t="s">
        <v>47</v>
      </c>
      <c r="B1" s="2" t="s">
        <v>35</v>
      </c>
      <c r="C1" s="2" t="s">
        <v>36</v>
      </c>
      <c r="D1" s="2" t="s">
        <v>46</v>
      </c>
    </row>
    <row r="2" spans="1:9" ht="12.9" customHeight="1" x14ac:dyDescent="0.25">
      <c r="A2" s="6" t="s">
        <v>1</v>
      </c>
      <c r="B2" s="2">
        <f>I2*1000000</f>
        <v>164494808130</v>
      </c>
      <c r="C2" s="2">
        <v>1620020</v>
      </c>
      <c r="D2" s="2">
        <f>B2/C2</f>
        <v>101538.75145368576</v>
      </c>
      <c r="I2" s="7">
        <v>164494.80812999999</v>
      </c>
    </row>
    <row r="3" spans="1:9" ht="12.9" customHeight="1" x14ac:dyDescent="0.25">
      <c r="A3" s="6" t="s">
        <v>2</v>
      </c>
      <c r="B3" s="2">
        <f t="shared" ref="B3:B27" si="0">I3*1000000</f>
        <v>89362154390</v>
      </c>
      <c r="C3" s="2">
        <v>1071216</v>
      </c>
      <c r="D3" s="2">
        <f t="shared" ref="D3:D27" si="1">B3/C3</f>
        <v>83421.228202342012</v>
      </c>
      <c r="I3" s="7">
        <v>89362.154389999996</v>
      </c>
    </row>
    <row r="4" spans="1:9" ht="12.9" customHeight="1" x14ac:dyDescent="0.25">
      <c r="A4" s="6" t="s">
        <v>40</v>
      </c>
      <c r="B4" s="2">
        <f t="shared" si="0"/>
        <v>31924234500</v>
      </c>
      <c r="C4" s="2">
        <v>437944</v>
      </c>
      <c r="D4" s="2">
        <f t="shared" si="1"/>
        <v>72895.700135177103</v>
      </c>
      <c r="I4" s="7">
        <v>31924.234499999999</v>
      </c>
    </row>
    <row r="5" spans="1:9" ht="12.9" customHeight="1" x14ac:dyDescent="0.25">
      <c r="A5" s="6" t="s">
        <v>3</v>
      </c>
      <c r="B5" s="2">
        <f t="shared" si="0"/>
        <v>2171116300</v>
      </c>
      <c r="C5" s="2">
        <v>38275</v>
      </c>
      <c r="D5" s="2">
        <f t="shared" si="1"/>
        <v>56724.135858915739</v>
      </c>
      <c r="I5" s="7">
        <v>2171.1163000000001</v>
      </c>
    </row>
    <row r="6" spans="1:9" ht="12.9" customHeight="1" x14ac:dyDescent="0.25">
      <c r="A6" s="6" t="s">
        <v>4</v>
      </c>
      <c r="B6" s="2">
        <f t="shared" si="0"/>
        <v>11622675910</v>
      </c>
      <c r="C6" s="2">
        <v>168931</v>
      </c>
      <c r="D6" s="2">
        <f t="shared" si="1"/>
        <v>68801.320716742339</v>
      </c>
      <c r="I6" s="7">
        <v>11622.67591</v>
      </c>
    </row>
    <row r="7" spans="1:9" ht="12.9" customHeight="1" x14ac:dyDescent="0.25">
      <c r="A7" s="6" t="s">
        <v>5</v>
      </c>
      <c r="B7" s="2">
        <f t="shared" si="0"/>
        <v>2888793770</v>
      </c>
      <c r="C7" s="2">
        <v>39662</v>
      </c>
      <c r="D7" s="2">
        <f t="shared" si="1"/>
        <v>72835.302556603303</v>
      </c>
      <c r="I7" s="7">
        <v>2888.7937700000002</v>
      </c>
    </row>
    <row r="8" spans="1:9" ht="12.9" customHeight="1" x14ac:dyDescent="0.25">
      <c r="A8" s="6" t="s">
        <v>6</v>
      </c>
      <c r="B8" s="2">
        <f t="shared" si="0"/>
        <v>3309652810</v>
      </c>
      <c r="C8" s="2">
        <v>45345</v>
      </c>
      <c r="D8" s="2">
        <f t="shared" si="1"/>
        <v>72988.263535119637</v>
      </c>
      <c r="I8" s="7">
        <v>3309.65281</v>
      </c>
    </row>
    <row r="9" spans="1:9" ht="12.9" customHeight="1" x14ac:dyDescent="0.25">
      <c r="A9" s="6" t="s">
        <v>7</v>
      </c>
      <c r="B9" s="2">
        <f t="shared" si="0"/>
        <v>3117553550</v>
      </c>
      <c r="C9" s="2">
        <v>42371</v>
      </c>
      <c r="D9" s="2">
        <f t="shared" si="1"/>
        <v>73577.530622359627</v>
      </c>
      <c r="I9" s="7">
        <v>3117.5535500000001</v>
      </c>
    </row>
    <row r="10" spans="1:9" ht="12.9" customHeight="1" x14ac:dyDescent="0.25">
      <c r="A10" s="6" t="s">
        <v>8</v>
      </c>
      <c r="B10" s="2">
        <f t="shared" si="0"/>
        <v>25176262910</v>
      </c>
      <c r="C10" s="2">
        <v>133739</v>
      </c>
      <c r="D10" s="2">
        <f t="shared" si="1"/>
        <v>188249.22356231167</v>
      </c>
      <c r="I10" s="7">
        <v>25176.262910000001</v>
      </c>
    </row>
    <row r="11" spans="1:9" ht="12.9" customHeight="1" x14ac:dyDescent="0.25">
      <c r="A11" s="6" t="s">
        <v>48</v>
      </c>
      <c r="B11" s="2">
        <f t="shared" si="0"/>
        <v>21423644090</v>
      </c>
      <c r="C11" s="2">
        <v>346674</v>
      </c>
      <c r="D11" s="2">
        <f t="shared" si="1"/>
        <v>61797.666078217575</v>
      </c>
      <c r="I11" s="7">
        <v>21423.644090000002</v>
      </c>
    </row>
    <row r="12" spans="1:9" ht="12.9" customHeight="1" x14ac:dyDescent="0.25">
      <c r="A12" s="6" t="s">
        <v>9</v>
      </c>
      <c r="B12" s="2">
        <f t="shared" si="0"/>
        <v>20762725060</v>
      </c>
      <c r="C12" s="2">
        <v>289792</v>
      </c>
      <c r="D12" s="2">
        <f t="shared" si="1"/>
        <v>71646.991842424904</v>
      </c>
      <c r="I12" s="7">
        <v>20762.725060000001</v>
      </c>
    </row>
    <row r="13" spans="1:9" ht="12.9" customHeight="1" x14ac:dyDescent="0.25">
      <c r="A13" s="6" t="s">
        <v>10</v>
      </c>
      <c r="B13" s="2">
        <f t="shared" si="0"/>
        <v>41203459090</v>
      </c>
      <c r="C13" s="2">
        <v>201384</v>
      </c>
      <c r="D13" s="2">
        <f t="shared" si="1"/>
        <v>204601.45339252375</v>
      </c>
      <c r="I13" s="7">
        <v>41203.459089999997</v>
      </c>
    </row>
    <row r="14" spans="1:9" ht="12.9" customHeight="1" x14ac:dyDescent="0.25">
      <c r="A14" s="6" t="s">
        <v>11</v>
      </c>
      <c r="B14" s="2">
        <f t="shared" si="0"/>
        <v>22811960900</v>
      </c>
      <c r="C14" s="2">
        <v>301323</v>
      </c>
      <c r="D14" s="2">
        <f t="shared" si="1"/>
        <v>75706.006179415446</v>
      </c>
      <c r="I14" s="7">
        <v>22811.960899999998</v>
      </c>
    </row>
    <row r="15" spans="1:9" ht="12.9" customHeight="1" x14ac:dyDescent="0.25">
      <c r="A15" s="6" t="s">
        <v>12</v>
      </c>
      <c r="B15" s="2">
        <f t="shared" si="0"/>
        <v>8541543460.000001</v>
      </c>
      <c r="C15" s="2">
        <v>88667</v>
      </c>
      <c r="D15" s="2">
        <f t="shared" si="1"/>
        <v>96332.834763779101</v>
      </c>
      <c r="I15" s="7">
        <v>8541.5434600000008</v>
      </c>
    </row>
    <row r="16" spans="1:9" ht="12.9" customHeight="1" x14ac:dyDescent="0.25">
      <c r="A16" s="6" t="s">
        <v>37</v>
      </c>
      <c r="B16" s="2">
        <f t="shared" si="0"/>
        <v>3748998430</v>
      </c>
      <c r="C16" s="2">
        <v>56705</v>
      </c>
      <c r="D16" s="2">
        <f t="shared" si="1"/>
        <v>66114.071598624461</v>
      </c>
      <c r="I16" s="7">
        <v>3748.9984300000001</v>
      </c>
    </row>
    <row r="17" spans="1:9" ht="12.9" customHeight="1" x14ac:dyDescent="0.25">
      <c r="A17" s="6" t="s">
        <v>38</v>
      </c>
      <c r="B17" s="2">
        <f t="shared" si="0"/>
        <v>1237718580</v>
      </c>
      <c r="C17" s="2">
        <v>16733</v>
      </c>
      <c r="D17" s="2">
        <f t="shared" si="1"/>
        <v>73968.719297197153</v>
      </c>
      <c r="I17" s="7">
        <v>1237.71858</v>
      </c>
    </row>
    <row r="18" spans="1:9" ht="12.9" customHeight="1" x14ac:dyDescent="0.25">
      <c r="A18" s="6" t="s">
        <v>39</v>
      </c>
      <c r="B18" s="2">
        <f t="shared" si="0"/>
        <v>44588822960</v>
      </c>
      <c r="C18" s="2">
        <v>540036</v>
      </c>
      <c r="D18" s="2">
        <f t="shared" si="1"/>
        <v>82566.389944374081</v>
      </c>
      <c r="I18" s="7">
        <v>44588.822959999998</v>
      </c>
    </row>
    <row r="19" spans="1:9" ht="12.9" customHeight="1" x14ac:dyDescent="0.25">
      <c r="A19" s="6" t="s">
        <v>13</v>
      </c>
      <c r="B19" s="2">
        <f t="shared" si="0"/>
        <v>16725530019.999998</v>
      </c>
      <c r="C19" s="2">
        <v>206138</v>
      </c>
      <c r="D19" s="2">
        <f t="shared" si="1"/>
        <v>81137.539027253573</v>
      </c>
      <c r="I19" s="7">
        <v>16725.530019999998</v>
      </c>
    </row>
    <row r="20" spans="1:9" ht="12.9" customHeight="1" x14ac:dyDescent="0.25">
      <c r="A20" s="6" t="s">
        <v>14</v>
      </c>
      <c r="B20" s="2">
        <f t="shared" si="0"/>
        <v>47538210860</v>
      </c>
      <c r="C20" s="2">
        <v>735808</v>
      </c>
      <c r="D20" s="2">
        <f t="shared" si="1"/>
        <v>64606.814359180658</v>
      </c>
      <c r="I20" s="7">
        <v>47538.210859999999</v>
      </c>
    </row>
    <row r="21" spans="1:9" ht="12.9" customHeight="1" x14ac:dyDescent="0.25">
      <c r="A21" s="6" t="s">
        <v>15</v>
      </c>
      <c r="B21" s="2">
        <f t="shared" si="0"/>
        <v>20291588620</v>
      </c>
      <c r="C21" s="2">
        <v>299509</v>
      </c>
      <c r="D21" s="2">
        <f t="shared" si="1"/>
        <v>67749.512101472748</v>
      </c>
      <c r="I21" s="7">
        <v>20291.588619999999</v>
      </c>
    </row>
    <row r="22" spans="1:9" ht="12.9" customHeight="1" x14ac:dyDescent="0.25">
      <c r="A22" s="6" t="s">
        <v>43</v>
      </c>
      <c r="B22" s="2">
        <f t="shared" si="0"/>
        <v>36083616750</v>
      </c>
      <c r="C22" s="2">
        <v>358903</v>
      </c>
      <c r="D22" s="2">
        <f t="shared" si="1"/>
        <v>100538.63230455025</v>
      </c>
      <c r="I22" s="7">
        <v>36083.616750000001</v>
      </c>
    </row>
    <row r="23" spans="1:9" ht="12.9" customHeight="1" x14ac:dyDescent="0.25">
      <c r="A23" s="6" t="s">
        <v>44</v>
      </c>
      <c r="B23" s="2">
        <f t="shared" si="0"/>
        <v>64500130220</v>
      </c>
      <c r="C23" s="2">
        <v>855106</v>
      </c>
      <c r="D23" s="2">
        <f t="shared" si="1"/>
        <v>75429.397314484988</v>
      </c>
      <c r="I23" s="7">
        <v>64500.130219999999</v>
      </c>
    </row>
    <row r="24" spans="1:9" ht="12.9" customHeight="1" x14ac:dyDescent="0.25">
      <c r="A24" s="6" t="s">
        <v>45</v>
      </c>
      <c r="B24" s="2">
        <f t="shared" si="0"/>
        <v>21807304230</v>
      </c>
      <c r="C24" s="2">
        <v>371288</v>
      </c>
      <c r="D24" s="2">
        <f t="shared" si="1"/>
        <v>58734.201563206996</v>
      </c>
      <c r="I24" s="7">
        <v>21807.304230000002</v>
      </c>
    </row>
    <row r="25" spans="1:9" ht="12.9" customHeight="1" x14ac:dyDescent="0.25">
      <c r="A25" s="6" t="s">
        <v>41</v>
      </c>
      <c r="B25" s="2">
        <f t="shared" si="0"/>
        <v>18724213170</v>
      </c>
      <c r="C25" s="2">
        <v>179518</v>
      </c>
      <c r="D25" s="2">
        <f t="shared" si="1"/>
        <v>104302.70596820375</v>
      </c>
      <c r="I25" s="7">
        <v>18724.213169999999</v>
      </c>
    </row>
    <row r="26" spans="1:9" ht="12.9" customHeight="1" x14ac:dyDescent="0.25">
      <c r="A26" s="6" t="s">
        <v>42</v>
      </c>
      <c r="B26" s="2">
        <f t="shared" si="0"/>
        <v>61231334170</v>
      </c>
      <c r="C26" s="2">
        <v>531102</v>
      </c>
      <c r="D26" s="2">
        <f t="shared" si="1"/>
        <v>115291.10071135112</v>
      </c>
      <c r="I26" s="7">
        <v>61231.334170000002</v>
      </c>
    </row>
    <row r="27" spans="1:9" ht="12.9" customHeight="1" x14ac:dyDescent="0.25">
      <c r="A27" s="6" t="s">
        <v>17</v>
      </c>
      <c r="B27" s="2">
        <f t="shared" si="0"/>
        <v>5799196750</v>
      </c>
      <c r="C27" s="2">
        <v>74840</v>
      </c>
      <c r="D27" s="2">
        <f t="shared" si="1"/>
        <v>77487.930919294493</v>
      </c>
      <c r="I27" s="7">
        <v>5799.1967500000001</v>
      </c>
    </row>
  </sheetData>
  <printOptions horizontalCentered="1"/>
  <pageMargins left="0.08" right="0.08" top="1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workbookViewId="0">
      <pane ySplit="3" topLeftCell="A4" activePane="bottomLeft" state="frozen"/>
      <selection pane="bottomLeft" activeCell="A14" sqref="A14:P14"/>
    </sheetView>
  </sheetViews>
  <sheetFormatPr baseColWidth="10" defaultColWidth="10.59765625" defaultRowHeight="13.8" x14ac:dyDescent="0.25"/>
  <cols>
    <col min="1" max="1" width="45" style="2" bestFit="1" customWidth="1"/>
    <col min="2" max="2" width="16.8984375" style="2" bestFit="1" customWidth="1"/>
    <col min="3" max="16" width="13.5" style="2" bestFit="1" customWidth="1"/>
    <col min="17" max="16384" width="10.59765625" style="2"/>
  </cols>
  <sheetData>
    <row r="1" spans="1:16" ht="20.100000000000001" customHeight="1" x14ac:dyDescent="0.25">
      <c r="A1" s="13" t="s">
        <v>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6" ht="12.9" customHeight="1" x14ac:dyDescent="0.25"/>
    <row r="3" spans="1:16" s="5" customFormat="1" ht="24.9" customHeight="1" x14ac:dyDescent="0.25">
      <c r="A3" s="3" t="s">
        <v>28</v>
      </c>
      <c r="B3" s="4">
        <v>2008</v>
      </c>
      <c r="C3" s="4">
        <v>2009</v>
      </c>
      <c r="D3" s="4">
        <v>2010</v>
      </c>
      <c r="E3" s="4">
        <v>2011</v>
      </c>
      <c r="F3" s="4">
        <v>2012</v>
      </c>
      <c r="G3" s="4">
        <v>2013</v>
      </c>
      <c r="H3" s="4">
        <v>2014</v>
      </c>
      <c r="I3" s="4">
        <v>2015</v>
      </c>
      <c r="J3" s="4">
        <v>2016</v>
      </c>
      <c r="K3" s="4">
        <v>2017</v>
      </c>
      <c r="L3" s="4">
        <v>2018</v>
      </c>
      <c r="M3" s="4">
        <v>2019</v>
      </c>
      <c r="N3" s="4">
        <v>2020</v>
      </c>
      <c r="O3" s="4">
        <v>2021</v>
      </c>
      <c r="P3" s="4" t="s">
        <v>0</v>
      </c>
    </row>
    <row r="4" spans="1:16" ht="12.9" customHeight="1" x14ac:dyDescent="0.25">
      <c r="A4" s="17" t="s">
        <v>29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16" ht="12.9" customHeight="1" x14ac:dyDescent="0.25">
      <c r="A5" s="6" t="s">
        <v>30</v>
      </c>
      <c r="B5" s="7">
        <v>110702.17757</v>
      </c>
      <c r="C5" s="7">
        <v>109900.33771000001</v>
      </c>
      <c r="D5" s="7">
        <v>115007.22698000001</v>
      </c>
      <c r="E5" s="7">
        <v>116185.80476</v>
      </c>
      <c r="F5" s="7">
        <v>120303.55404</v>
      </c>
      <c r="G5" s="7">
        <v>120012.66026</v>
      </c>
      <c r="H5" s="7">
        <v>121876.54115999999</v>
      </c>
      <c r="I5" s="7">
        <v>121813.67806000001</v>
      </c>
      <c r="J5" s="7">
        <v>125676.59037000001</v>
      </c>
      <c r="K5" s="7">
        <v>125174.99886000001</v>
      </c>
      <c r="L5" s="7">
        <v>131592.10109000001</v>
      </c>
      <c r="M5" s="7">
        <v>133045.68549999999</v>
      </c>
      <c r="N5" s="7">
        <v>127484.33467</v>
      </c>
      <c r="O5" s="7">
        <v>139588.54178999999</v>
      </c>
      <c r="P5" s="7">
        <v>147538.76861999999</v>
      </c>
    </row>
    <row r="6" spans="1:16" ht="12.9" customHeight="1" x14ac:dyDescent="0.25">
      <c r="A6" s="6" t="s">
        <v>31</v>
      </c>
      <c r="B6" s="7">
        <v>124105.65375</v>
      </c>
      <c r="C6" s="7">
        <v>120779.69566</v>
      </c>
      <c r="D6" s="7">
        <v>124689.84797</v>
      </c>
      <c r="E6" s="7">
        <v>127791.51820000001</v>
      </c>
      <c r="F6" s="7">
        <v>128858.56925</v>
      </c>
      <c r="G6" s="7">
        <v>131785.19928999999</v>
      </c>
      <c r="H6" s="7">
        <v>134355.93943999999</v>
      </c>
      <c r="I6" s="7">
        <v>134576.00829</v>
      </c>
      <c r="J6" s="7">
        <v>134121.35324999999</v>
      </c>
      <c r="K6" s="7">
        <v>135742.70787000001</v>
      </c>
      <c r="L6" s="7">
        <v>139411.13248</v>
      </c>
      <c r="M6" s="7">
        <v>141942.71170000001</v>
      </c>
      <c r="N6" s="7">
        <v>137562.29224000001</v>
      </c>
      <c r="O6" s="7">
        <v>147923.96358000001</v>
      </c>
      <c r="P6" s="7">
        <v>156071.93346999999</v>
      </c>
    </row>
    <row r="7" spans="1:16" ht="12.9" customHeight="1" x14ac:dyDescent="0.25">
      <c r="A7" s="6" t="s">
        <v>32</v>
      </c>
      <c r="B7" s="7">
        <v>88564.122199999998</v>
      </c>
      <c r="C7" s="7">
        <v>86806.375700000004</v>
      </c>
      <c r="D7" s="7">
        <v>88476.870179999998</v>
      </c>
      <c r="E7" s="7">
        <v>90486.472500000003</v>
      </c>
      <c r="F7" s="7">
        <v>90232.370949999997</v>
      </c>
      <c r="G7" s="7">
        <v>91795.052710000004</v>
      </c>
      <c r="H7" s="7">
        <v>93901.842569999993</v>
      </c>
      <c r="I7" s="7">
        <v>94684.334010000006</v>
      </c>
      <c r="J7" s="7">
        <v>97771.482510000002</v>
      </c>
      <c r="K7" s="7">
        <v>100363.65717000001</v>
      </c>
      <c r="L7" s="7">
        <v>102616.77764</v>
      </c>
      <c r="M7" s="7">
        <v>103642.15373000001</v>
      </c>
      <c r="N7" s="7">
        <v>102277.86593</v>
      </c>
      <c r="O7" s="7">
        <v>106579.78361</v>
      </c>
      <c r="P7" s="7">
        <v>111553.63085</v>
      </c>
    </row>
    <row r="8" spans="1:16" ht="12.9" customHeight="1" x14ac:dyDescent="0.25">
      <c r="A8" s="6" t="s">
        <v>1</v>
      </c>
      <c r="B8" s="7">
        <v>135763.68805999999</v>
      </c>
      <c r="C8" s="7">
        <v>133234.53890000001</v>
      </c>
      <c r="D8" s="7">
        <v>136404.31547999999</v>
      </c>
      <c r="E8" s="7">
        <v>138271.16326</v>
      </c>
      <c r="F8" s="7">
        <v>140136.37331</v>
      </c>
      <c r="G8" s="7">
        <v>141721.61363000001</v>
      </c>
      <c r="H8" s="7">
        <v>144486.87809000001</v>
      </c>
      <c r="I8" s="7">
        <v>144642.66344999999</v>
      </c>
      <c r="J8" s="7">
        <v>146281.06094</v>
      </c>
      <c r="K8" s="7">
        <v>148710.70989</v>
      </c>
      <c r="L8" s="7">
        <v>156883.07738</v>
      </c>
      <c r="M8" s="7">
        <v>155290.74181000001</v>
      </c>
      <c r="N8" s="7">
        <v>149208.52862999999</v>
      </c>
      <c r="O8" s="7">
        <v>152930.93252999999</v>
      </c>
      <c r="P8" s="7">
        <v>164494.80812999999</v>
      </c>
    </row>
    <row r="9" spans="1:16" ht="12.9" customHeight="1" x14ac:dyDescent="0.25">
      <c r="A9" s="6" t="s">
        <v>33</v>
      </c>
      <c r="B9" s="7">
        <v>74472.781889999998</v>
      </c>
      <c r="C9" s="7">
        <v>72680.230509999994</v>
      </c>
      <c r="D9" s="7">
        <v>75957.68432</v>
      </c>
      <c r="E9" s="7">
        <v>77757.17873</v>
      </c>
      <c r="F9" s="7">
        <v>77723.920360000004</v>
      </c>
      <c r="G9" s="7">
        <v>79811.974230000007</v>
      </c>
      <c r="H9" s="7">
        <v>80802.342730000004</v>
      </c>
      <c r="I9" s="7">
        <v>80360.690400000007</v>
      </c>
      <c r="J9" s="7">
        <v>81314.716799999995</v>
      </c>
      <c r="K9" s="7">
        <v>81968.946490000002</v>
      </c>
      <c r="L9" s="7">
        <v>83762.299950000001</v>
      </c>
      <c r="M9" s="7">
        <v>85743.250870000003</v>
      </c>
      <c r="N9" s="7">
        <v>85261.006840000002</v>
      </c>
      <c r="O9" s="7">
        <v>93056.14241</v>
      </c>
      <c r="P9" s="7">
        <v>98251.75563</v>
      </c>
    </row>
    <row r="10" spans="1:16" ht="12.9" customHeight="1" x14ac:dyDescent="0.25">
      <c r="A10" s="6" t="s">
        <v>34</v>
      </c>
      <c r="B10" s="7">
        <v>53819.748350000002</v>
      </c>
      <c r="C10" s="7">
        <v>53233.119760000001</v>
      </c>
      <c r="D10" s="7">
        <v>56831.070299999999</v>
      </c>
      <c r="E10" s="7">
        <v>57515.817389999997</v>
      </c>
      <c r="F10" s="7">
        <v>58345.23893</v>
      </c>
      <c r="G10" s="7">
        <v>60421.833680000003</v>
      </c>
      <c r="H10" s="7">
        <v>60542.151769999997</v>
      </c>
      <c r="I10" s="7">
        <v>62306.038659999998</v>
      </c>
      <c r="J10" s="7">
        <v>63119.223039999997</v>
      </c>
      <c r="K10" s="7">
        <v>63312.500469999999</v>
      </c>
      <c r="L10" s="7">
        <v>64735.076090000002</v>
      </c>
      <c r="M10" s="7">
        <v>66223.992509999996</v>
      </c>
      <c r="N10" s="7">
        <v>65807.770569999993</v>
      </c>
      <c r="O10" s="7">
        <v>71622.339789999998</v>
      </c>
      <c r="P10" s="7">
        <v>77092.736199999999</v>
      </c>
    </row>
    <row r="11" spans="1:16" ht="12.9" customHeight="1" x14ac:dyDescent="0.25">
      <c r="A11" s="6" t="s">
        <v>16</v>
      </c>
      <c r="B11" s="7">
        <v>26979.54752</v>
      </c>
      <c r="C11" s="7">
        <v>26404.775399999999</v>
      </c>
      <c r="D11" s="7">
        <v>27178.103309999999</v>
      </c>
      <c r="E11" s="7">
        <v>27730.789390000002</v>
      </c>
      <c r="F11" s="7">
        <v>28045.56223</v>
      </c>
      <c r="G11" s="7">
        <v>29063.335169999998</v>
      </c>
      <c r="H11" s="7">
        <v>29652.67872</v>
      </c>
      <c r="I11" s="7">
        <v>29622.968819999998</v>
      </c>
      <c r="J11" s="7">
        <v>29563.90365</v>
      </c>
      <c r="K11" s="7">
        <v>29284.94673</v>
      </c>
      <c r="L11" s="7">
        <v>30521.09186</v>
      </c>
      <c r="M11" s="7">
        <v>30990.05371</v>
      </c>
      <c r="N11" s="7">
        <v>29018.159790000002</v>
      </c>
      <c r="O11" s="7">
        <v>33365.330970000003</v>
      </c>
      <c r="P11" s="7">
        <v>36083.616750000001</v>
      </c>
    </row>
    <row r="12" spans="1:16" ht="12.9" customHeight="1" x14ac:dyDescent="0.25">
      <c r="A12" s="6" t="s">
        <v>18</v>
      </c>
      <c r="B12" s="7">
        <v>614407.71933999995</v>
      </c>
      <c r="C12" s="7">
        <v>603039.07363</v>
      </c>
      <c r="D12" s="7">
        <v>624545.11855000001</v>
      </c>
      <c r="E12" s="7">
        <v>635738.74424000003</v>
      </c>
      <c r="F12" s="7">
        <v>643645.58906999999</v>
      </c>
      <c r="G12" s="7">
        <v>654611.66897</v>
      </c>
      <c r="H12" s="7">
        <v>665618.37447000004</v>
      </c>
      <c r="I12" s="7">
        <v>668006.38170000003</v>
      </c>
      <c r="J12" s="7">
        <v>677848.33056000003</v>
      </c>
      <c r="K12" s="7">
        <v>684558.46747999999</v>
      </c>
      <c r="L12" s="7">
        <v>709521.55649999995</v>
      </c>
      <c r="M12" s="7">
        <v>716878.58982999995</v>
      </c>
      <c r="N12" s="7">
        <v>696619.95866999996</v>
      </c>
      <c r="O12" s="7">
        <v>745067.03466999996</v>
      </c>
      <c r="P12" s="7">
        <v>791087.24965000001</v>
      </c>
    </row>
    <row r="13" spans="1:16" ht="12.9" customHeight="1" x14ac:dyDescent="0.25">
      <c r="A13" s="8" t="s">
        <v>19</v>
      </c>
      <c r="B13" s="9" t="s">
        <v>20</v>
      </c>
      <c r="C13" s="9" t="s">
        <v>20</v>
      </c>
      <c r="D13" s="9" t="s">
        <v>20</v>
      </c>
      <c r="E13" s="9" t="s">
        <v>20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  <c r="L13" s="9" t="s">
        <v>20</v>
      </c>
      <c r="M13" s="9" t="s">
        <v>20</v>
      </c>
      <c r="N13" s="9" t="s">
        <v>20</v>
      </c>
      <c r="O13" s="9" t="s">
        <v>20</v>
      </c>
      <c r="P13" s="9" t="s">
        <v>20</v>
      </c>
    </row>
    <row r="14" spans="1:16" ht="12.9" customHeight="1" x14ac:dyDescent="0.25">
      <c r="A14" s="17" t="s">
        <v>21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5" spans="1:16" ht="12.9" customHeight="1" x14ac:dyDescent="0.25">
      <c r="A15" s="6" t="s">
        <v>30</v>
      </c>
      <c r="B15" s="10" t="s">
        <v>20</v>
      </c>
      <c r="C15" s="10">
        <v>-0.72431999999999996</v>
      </c>
      <c r="D15" s="10">
        <v>4.6468400000000001</v>
      </c>
      <c r="E15" s="10">
        <v>1.0247900000000001</v>
      </c>
      <c r="F15" s="10">
        <v>3.5441099999999999</v>
      </c>
      <c r="G15" s="10">
        <v>-0.24179999999999999</v>
      </c>
      <c r="H15" s="10">
        <v>1.55307</v>
      </c>
      <c r="I15" s="10">
        <v>-5.1580000000000001E-2</v>
      </c>
      <c r="J15" s="10">
        <v>3.17116</v>
      </c>
      <c r="K15" s="10">
        <v>-0.39911000000000002</v>
      </c>
      <c r="L15" s="10">
        <v>5.1265000000000001</v>
      </c>
      <c r="M15" s="10">
        <v>1.1046100000000001</v>
      </c>
      <c r="N15" s="10">
        <v>-4.1800300000000004</v>
      </c>
      <c r="O15" s="10">
        <v>9.4946599999999997</v>
      </c>
      <c r="P15" s="10">
        <v>5.6954700000000003</v>
      </c>
    </row>
    <row r="16" spans="1:16" ht="12.9" customHeight="1" x14ac:dyDescent="0.25">
      <c r="A16" s="6" t="s">
        <v>31</v>
      </c>
      <c r="B16" s="10" t="s">
        <v>20</v>
      </c>
      <c r="C16" s="10">
        <v>-2.6799400000000002</v>
      </c>
      <c r="D16" s="10">
        <v>3.2374299999999998</v>
      </c>
      <c r="E16" s="10">
        <v>2.4875099999999999</v>
      </c>
      <c r="F16" s="10">
        <v>0.83499000000000001</v>
      </c>
      <c r="G16" s="10">
        <v>2.2711999999999999</v>
      </c>
      <c r="H16" s="10">
        <v>1.9507000000000001</v>
      </c>
      <c r="I16" s="10">
        <v>0.1638</v>
      </c>
      <c r="J16" s="10">
        <v>-0.33783999999999997</v>
      </c>
      <c r="K16" s="10">
        <v>1.2088699999999999</v>
      </c>
      <c r="L16" s="10">
        <v>2.70248</v>
      </c>
      <c r="M16" s="10">
        <v>1.8159099999999999</v>
      </c>
      <c r="N16" s="10">
        <v>-3.0860500000000002</v>
      </c>
      <c r="O16" s="10">
        <v>7.5323500000000001</v>
      </c>
      <c r="P16" s="10">
        <v>5.5082100000000001</v>
      </c>
    </row>
    <row r="17" spans="1:16" ht="12.9" customHeight="1" x14ac:dyDescent="0.25">
      <c r="A17" s="6" t="s">
        <v>32</v>
      </c>
      <c r="B17" s="10" t="s">
        <v>20</v>
      </c>
      <c r="C17" s="10">
        <v>-1.98472</v>
      </c>
      <c r="D17" s="10">
        <v>1.92439</v>
      </c>
      <c r="E17" s="10">
        <v>2.2713299999999998</v>
      </c>
      <c r="F17" s="10">
        <v>-0.28082000000000001</v>
      </c>
      <c r="G17" s="10">
        <v>1.73184</v>
      </c>
      <c r="H17" s="10">
        <v>2.2951000000000001</v>
      </c>
      <c r="I17" s="10">
        <v>0.83331</v>
      </c>
      <c r="J17" s="10">
        <v>3.2604600000000001</v>
      </c>
      <c r="K17" s="10">
        <v>2.6512600000000002</v>
      </c>
      <c r="L17" s="10">
        <v>2.2449599999999998</v>
      </c>
      <c r="M17" s="10">
        <v>0.99922999999999995</v>
      </c>
      <c r="N17" s="10">
        <v>-1.3163400000000001</v>
      </c>
      <c r="O17" s="10">
        <v>4.2061099999999998</v>
      </c>
      <c r="P17" s="10">
        <v>4.6667800000000002</v>
      </c>
    </row>
    <row r="18" spans="1:16" ht="12.9" customHeight="1" x14ac:dyDescent="0.25">
      <c r="A18" s="6" t="s">
        <v>1</v>
      </c>
      <c r="B18" s="10" t="s">
        <v>20</v>
      </c>
      <c r="C18" s="10">
        <v>-1.8629100000000001</v>
      </c>
      <c r="D18" s="10">
        <v>2.3791000000000002</v>
      </c>
      <c r="E18" s="10">
        <v>1.3686100000000001</v>
      </c>
      <c r="F18" s="10">
        <v>1.3489500000000001</v>
      </c>
      <c r="G18" s="10">
        <v>1.13121</v>
      </c>
      <c r="H18" s="10">
        <v>1.95119</v>
      </c>
      <c r="I18" s="10">
        <v>0.10782</v>
      </c>
      <c r="J18" s="10">
        <v>1.1327199999999999</v>
      </c>
      <c r="K18" s="10">
        <v>1.6609499999999999</v>
      </c>
      <c r="L18" s="10">
        <v>5.4954799999999997</v>
      </c>
      <c r="M18" s="10">
        <v>-1.01498</v>
      </c>
      <c r="N18" s="10">
        <v>-3.9166599999999998</v>
      </c>
      <c r="O18" s="10">
        <v>2.4947699999999999</v>
      </c>
      <c r="P18" s="10">
        <v>7.5614999999999997</v>
      </c>
    </row>
    <row r="19" spans="1:16" ht="12.9" customHeight="1" x14ac:dyDescent="0.25">
      <c r="A19" s="6" t="s">
        <v>33</v>
      </c>
      <c r="B19" s="10" t="s">
        <v>20</v>
      </c>
      <c r="C19" s="10">
        <v>-2.40699</v>
      </c>
      <c r="D19" s="10">
        <v>4.5094200000000004</v>
      </c>
      <c r="E19" s="10">
        <v>2.3690699999999998</v>
      </c>
      <c r="F19" s="10">
        <v>-4.2770000000000002E-2</v>
      </c>
      <c r="G19" s="10">
        <v>2.6865000000000001</v>
      </c>
      <c r="H19" s="10">
        <v>1.24088</v>
      </c>
      <c r="I19" s="10">
        <v>-0.54657999999999995</v>
      </c>
      <c r="J19" s="10">
        <v>1.1871799999999999</v>
      </c>
      <c r="K19" s="10">
        <v>0.80456000000000005</v>
      </c>
      <c r="L19" s="10">
        <v>2.18784</v>
      </c>
      <c r="M19" s="10">
        <v>2.36497</v>
      </c>
      <c r="N19" s="10">
        <v>-0.56242999999999999</v>
      </c>
      <c r="O19" s="10">
        <v>9.1426700000000007</v>
      </c>
      <c r="P19" s="10">
        <v>5.58331</v>
      </c>
    </row>
    <row r="20" spans="1:16" ht="12.9" customHeight="1" x14ac:dyDescent="0.25">
      <c r="A20" s="6" t="s">
        <v>34</v>
      </c>
      <c r="B20" s="10" t="s">
        <v>20</v>
      </c>
      <c r="C20" s="10">
        <v>-1.08999</v>
      </c>
      <c r="D20" s="10">
        <v>6.7588600000000003</v>
      </c>
      <c r="E20" s="10">
        <v>1.20488</v>
      </c>
      <c r="F20" s="10">
        <v>1.44208</v>
      </c>
      <c r="G20" s="10">
        <v>3.5591499999999998</v>
      </c>
      <c r="H20" s="10">
        <v>0.19913</v>
      </c>
      <c r="I20" s="10">
        <v>2.9134899999999999</v>
      </c>
      <c r="J20" s="10">
        <v>1.30515</v>
      </c>
      <c r="K20" s="10">
        <v>0.30620999999999998</v>
      </c>
      <c r="L20" s="10">
        <v>2.2469100000000002</v>
      </c>
      <c r="M20" s="10">
        <v>2.3000099999999999</v>
      </c>
      <c r="N20" s="10">
        <v>-0.62851000000000001</v>
      </c>
      <c r="O20" s="10">
        <v>8.8356899999999996</v>
      </c>
      <c r="P20" s="10">
        <v>7.6378399999999997</v>
      </c>
    </row>
    <row r="21" spans="1:16" ht="12.9" customHeight="1" x14ac:dyDescent="0.25">
      <c r="A21" s="6" t="s">
        <v>16</v>
      </c>
      <c r="B21" s="10" t="s">
        <v>20</v>
      </c>
      <c r="C21" s="10">
        <v>-2.1303999999999998</v>
      </c>
      <c r="D21" s="10">
        <v>2.9287399999999999</v>
      </c>
      <c r="E21" s="10">
        <v>2.0335700000000001</v>
      </c>
      <c r="F21" s="10">
        <v>1.1351</v>
      </c>
      <c r="G21" s="10">
        <v>3.629</v>
      </c>
      <c r="H21" s="10">
        <v>2.02779</v>
      </c>
      <c r="I21" s="10">
        <v>-0.10019</v>
      </c>
      <c r="J21" s="10">
        <v>-0.19939000000000001</v>
      </c>
      <c r="K21" s="10">
        <v>-0.94357000000000002</v>
      </c>
      <c r="L21" s="10">
        <v>4.2210900000000002</v>
      </c>
      <c r="M21" s="10">
        <v>1.5365200000000001</v>
      </c>
      <c r="N21" s="10">
        <v>-6.3629899999999999</v>
      </c>
      <c r="O21" s="10">
        <v>14.98086</v>
      </c>
      <c r="P21" s="10">
        <v>8.1470400000000005</v>
      </c>
    </row>
    <row r="22" spans="1:16" ht="12.9" customHeight="1" x14ac:dyDescent="0.25">
      <c r="A22" s="6" t="s">
        <v>18</v>
      </c>
      <c r="B22" s="10" t="s">
        <v>20</v>
      </c>
      <c r="C22" s="10">
        <v>-1.8503400000000001</v>
      </c>
      <c r="D22" s="10">
        <v>3.5662799999999999</v>
      </c>
      <c r="E22" s="10">
        <v>1.7922800000000001</v>
      </c>
      <c r="F22" s="10">
        <v>1.24373</v>
      </c>
      <c r="G22" s="10">
        <v>1.7037500000000001</v>
      </c>
      <c r="H22" s="10">
        <v>1.6814100000000001</v>
      </c>
      <c r="I22" s="10">
        <v>0.35876999999999998</v>
      </c>
      <c r="J22" s="10">
        <v>1.47333</v>
      </c>
      <c r="K22" s="10">
        <v>0.98992000000000002</v>
      </c>
      <c r="L22" s="10">
        <v>3.6465999999999998</v>
      </c>
      <c r="M22" s="10">
        <v>1.0368999999999999</v>
      </c>
      <c r="N22" s="10">
        <v>-2.8259500000000002</v>
      </c>
      <c r="O22" s="10">
        <v>6.9545899999999996</v>
      </c>
      <c r="P22" s="10">
        <v>6.1766500000000004</v>
      </c>
    </row>
    <row r="23" spans="1:16" ht="12.9" customHeight="1" x14ac:dyDescent="0.25">
      <c r="A23" s="8" t="s">
        <v>19</v>
      </c>
      <c r="B23" s="11" t="s">
        <v>20</v>
      </c>
      <c r="C23" s="11" t="s">
        <v>20</v>
      </c>
      <c r="D23" s="11" t="s">
        <v>20</v>
      </c>
      <c r="E23" s="11" t="s">
        <v>20</v>
      </c>
      <c r="F23" s="11" t="s">
        <v>20</v>
      </c>
      <c r="G23" s="11" t="s">
        <v>20</v>
      </c>
      <c r="H23" s="11" t="s">
        <v>20</v>
      </c>
      <c r="I23" s="11" t="s">
        <v>20</v>
      </c>
      <c r="J23" s="11" t="s">
        <v>20</v>
      </c>
      <c r="K23" s="11" t="s">
        <v>20</v>
      </c>
      <c r="L23" s="11" t="s">
        <v>20</v>
      </c>
      <c r="M23" s="11" t="s">
        <v>20</v>
      </c>
      <c r="N23" s="11" t="s">
        <v>20</v>
      </c>
      <c r="O23" s="11" t="s">
        <v>20</v>
      </c>
      <c r="P23" s="11" t="s">
        <v>20</v>
      </c>
    </row>
    <row r="24" spans="1:16" ht="12.9" customHeight="1" x14ac:dyDescent="0.25">
      <c r="A24" s="17" t="s">
        <v>22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 ht="12.9" customHeight="1" x14ac:dyDescent="0.25">
      <c r="A25" s="6" t="s">
        <v>30</v>
      </c>
      <c r="B25" s="10" t="s">
        <v>20</v>
      </c>
      <c r="C25" s="10">
        <v>-7.0930000000000007E-2</v>
      </c>
      <c r="D25" s="10">
        <v>3.75177</v>
      </c>
      <c r="E25" s="10">
        <v>1.1062399999999999</v>
      </c>
      <c r="F25" s="10">
        <v>3.69963</v>
      </c>
      <c r="G25" s="10">
        <v>-0.38817000000000002</v>
      </c>
      <c r="H25" s="10">
        <v>1.7869600000000001</v>
      </c>
      <c r="I25" s="10">
        <v>1.05254</v>
      </c>
      <c r="J25" s="10">
        <v>3.5680999999999998</v>
      </c>
      <c r="K25" s="10">
        <v>-0.41943999999999998</v>
      </c>
      <c r="L25" s="10">
        <v>4.2233299999999998</v>
      </c>
      <c r="M25" s="10">
        <v>1.31778</v>
      </c>
      <c r="N25" s="10">
        <v>-3.5444900000000001</v>
      </c>
      <c r="O25" s="10">
        <v>7.6882599999999996</v>
      </c>
      <c r="P25" s="10">
        <v>2.4477199999999999</v>
      </c>
    </row>
    <row r="26" spans="1:16" ht="12.9" customHeight="1" x14ac:dyDescent="0.25">
      <c r="A26" s="6" t="s">
        <v>31</v>
      </c>
      <c r="B26" s="10" t="s">
        <v>20</v>
      </c>
      <c r="C26" s="10">
        <v>-3.5353599999999998</v>
      </c>
      <c r="D26" s="10">
        <v>3.61504</v>
      </c>
      <c r="E26" s="10">
        <v>2.9925099999999998</v>
      </c>
      <c r="F26" s="10">
        <v>0.57732000000000006</v>
      </c>
      <c r="G26" s="10">
        <v>2.0749900000000001</v>
      </c>
      <c r="H26" s="10">
        <v>2.2672400000000001</v>
      </c>
      <c r="I26" s="10">
        <v>0.89988000000000001</v>
      </c>
      <c r="J26" s="10">
        <v>0.35718</v>
      </c>
      <c r="K26" s="10">
        <v>1.5191699999999999</v>
      </c>
      <c r="L26" s="10">
        <v>2.1145499999999999</v>
      </c>
      <c r="M26" s="10">
        <v>1.6062099999999999</v>
      </c>
      <c r="N26" s="10">
        <v>-2.9818600000000002</v>
      </c>
      <c r="O26" s="10">
        <v>6.3039699999999996</v>
      </c>
      <c r="P26" s="10">
        <v>3.2200799999999998</v>
      </c>
    </row>
    <row r="27" spans="1:16" ht="12.9" customHeight="1" x14ac:dyDescent="0.25">
      <c r="A27" s="6" t="s">
        <v>32</v>
      </c>
      <c r="B27" s="10" t="s">
        <v>20</v>
      </c>
      <c r="C27" s="10">
        <v>-4.3361900000000002</v>
      </c>
      <c r="D27" s="10">
        <v>1.83558</v>
      </c>
      <c r="E27" s="10">
        <v>2.5118399999999999</v>
      </c>
      <c r="F27" s="10">
        <v>-9.0440000000000006E-2</v>
      </c>
      <c r="G27" s="10">
        <v>1.83405</v>
      </c>
      <c r="H27" s="10">
        <v>2.9335100000000001</v>
      </c>
      <c r="I27" s="10">
        <v>1.9117599999999999</v>
      </c>
      <c r="J27" s="10">
        <v>3.8684500000000002</v>
      </c>
      <c r="K27" s="10">
        <v>2.8356699999999999</v>
      </c>
      <c r="L27" s="10">
        <v>1.4413899999999999</v>
      </c>
      <c r="M27" s="10">
        <v>1.5536399999999999</v>
      </c>
      <c r="N27" s="10">
        <v>-1.1742999999999999</v>
      </c>
      <c r="O27" s="10">
        <v>2.7082000000000002</v>
      </c>
      <c r="P27" s="10">
        <v>1.42876</v>
      </c>
    </row>
    <row r="28" spans="1:16" ht="12.9" customHeight="1" x14ac:dyDescent="0.25">
      <c r="A28" s="6" t="s">
        <v>1</v>
      </c>
      <c r="B28" s="10" t="s">
        <v>20</v>
      </c>
      <c r="C28" s="10">
        <v>-3.09517</v>
      </c>
      <c r="D28" s="10">
        <v>1.5282100000000001</v>
      </c>
      <c r="E28" s="10">
        <v>0.23547000000000001</v>
      </c>
      <c r="F28" s="10">
        <v>0.88504000000000005</v>
      </c>
      <c r="G28" s="10">
        <v>2.14208</v>
      </c>
      <c r="H28" s="10">
        <v>3.34443</v>
      </c>
      <c r="I28" s="10">
        <v>2.4218600000000001</v>
      </c>
      <c r="J28" s="10">
        <v>1.7484</v>
      </c>
      <c r="K28" s="10">
        <v>2.4497399999999998</v>
      </c>
      <c r="L28" s="10">
        <v>4.2571399999999997</v>
      </c>
      <c r="M28" s="10">
        <v>-0.63795999999999997</v>
      </c>
      <c r="N28" s="10">
        <v>-2.22879</v>
      </c>
      <c r="O28" s="10">
        <v>1.37548</v>
      </c>
      <c r="P28" s="10">
        <v>3.7673299999999998</v>
      </c>
    </row>
    <row r="29" spans="1:16" ht="12.9" customHeight="1" x14ac:dyDescent="0.25">
      <c r="A29" s="6" t="s">
        <v>33</v>
      </c>
      <c r="B29" s="10" t="s">
        <v>20</v>
      </c>
      <c r="C29" s="10">
        <v>-1.98133</v>
      </c>
      <c r="D29" s="10">
        <v>4.8723799999999997</v>
      </c>
      <c r="E29" s="10">
        <v>3.0021599999999999</v>
      </c>
      <c r="F29" s="10">
        <v>1.2099999999999999E-3</v>
      </c>
      <c r="G29" s="10">
        <v>2.42693</v>
      </c>
      <c r="H29" s="10">
        <v>1.4612000000000001</v>
      </c>
      <c r="I29" s="10">
        <v>0.62126000000000003</v>
      </c>
      <c r="J29" s="10">
        <v>1.86833</v>
      </c>
      <c r="K29" s="10">
        <v>1.38794</v>
      </c>
      <c r="L29" s="10">
        <v>2.1695899999999999</v>
      </c>
      <c r="M29" s="10">
        <v>1.9944599999999999</v>
      </c>
      <c r="N29" s="10">
        <v>-0.32963999999999999</v>
      </c>
      <c r="O29" s="10">
        <v>8.20871</v>
      </c>
      <c r="P29" s="10">
        <v>3.0192600000000001</v>
      </c>
    </row>
    <row r="30" spans="1:16" ht="12.9" customHeight="1" x14ac:dyDescent="0.25">
      <c r="A30" s="6" t="s">
        <v>34</v>
      </c>
      <c r="B30" s="10" t="s">
        <v>20</v>
      </c>
      <c r="C30" s="10">
        <v>1.4833799999999999</v>
      </c>
      <c r="D30" s="10">
        <v>6.0064700000000002</v>
      </c>
      <c r="E30" s="10">
        <v>1.5943099999999999</v>
      </c>
      <c r="F30" s="10">
        <v>1.7946800000000001</v>
      </c>
      <c r="G30" s="10">
        <v>3.0857399999999999</v>
      </c>
      <c r="H30" s="10">
        <v>1.6092299999999999</v>
      </c>
      <c r="I30" s="10">
        <v>4.0058100000000003</v>
      </c>
      <c r="J30" s="10">
        <v>1.9366399999999999</v>
      </c>
      <c r="K30" s="10">
        <v>0.69662999999999997</v>
      </c>
      <c r="L30" s="10">
        <v>1.3209900000000001</v>
      </c>
      <c r="M30" s="10">
        <v>2.2797399999999999</v>
      </c>
      <c r="N30" s="10">
        <v>0.51907000000000003</v>
      </c>
      <c r="O30" s="10">
        <v>6.9861599999999999</v>
      </c>
      <c r="P30" s="10">
        <v>3.9543599999999999</v>
      </c>
    </row>
    <row r="31" spans="1:16" ht="12.9" customHeight="1" x14ac:dyDescent="0.25">
      <c r="A31" s="6" t="s">
        <v>16</v>
      </c>
      <c r="B31" s="10" t="s">
        <v>20</v>
      </c>
      <c r="C31" s="10">
        <v>-3.4452600000000002</v>
      </c>
      <c r="D31" s="10">
        <v>2.6560299999999999</v>
      </c>
      <c r="E31" s="10">
        <v>2.1709800000000001</v>
      </c>
      <c r="F31" s="10">
        <v>1.0302100000000001</v>
      </c>
      <c r="G31" s="10">
        <v>3.5114399999999999</v>
      </c>
      <c r="H31" s="10">
        <v>2.3362699999999998</v>
      </c>
      <c r="I31" s="10">
        <v>0.7873</v>
      </c>
      <c r="J31" s="10">
        <v>0.31080999999999998</v>
      </c>
      <c r="K31" s="10">
        <v>-0.66622000000000003</v>
      </c>
      <c r="L31" s="10">
        <v>3.5251199999999998</v>
      </c>
      <c r="M31" s="10">
        <v>1.27599</v>
      </c>
      <c r="N31" s="10">
        <v>-5.7704399999999998</v>
      </c>
      <c r="O31" s="10">
        <v>13.225250000000001</v>
      </c>
      <c r="P31" s="10">
        <v>4.7183400000000004</v>
      </c>
    </row>
    <row r="32" spans="1:16" ht="12.9" customHeight="1" x14ac:dyDescent="0.25">
      <c r="A32" s="6" t="s">
        <v>18</v>
      </c>
      <c r="B32" s="10" t="s">
        <v>20</v>
      </c>
      <c r="C32" s="10">
        <v>-2.2973699999999999</v>
      </c>
      <c r="D32" s="10">
        <v>3.2433999999999998</v>
      </c>
      <c r="E32" s="10">
        <v>1.81311</v>
      </c>
      <c r="F32" s="10">
        <v>1.1792499999999999</v>
      </c>
      <c r="G32" s="10">
        <v>1.7921400000000001</v>
      </c>
      <c r="H32" s="10">
        <v>2.3498800000000002</v>
      </c>
      <c r="I32" s="10">
        <v>1.64463</v>
      </c>
      <c r="J32" s="10">
        <v>2.0686900000000001</v>
      </c>
      <c r="K32" s="10">
        <v>1.3628</v>
      </c>
      <c r="L32" s="10">
        <v>2.8604500000000002</v>
      </c>
      <c r="M32" s="10">
        <v>1.14198</v>
      </c>
      <c r="N32" s="10">
        <v>-2.14174</v>
      </c>
      <c r="O32" s="10">
        <v>5.5596199999999998</v>
      </c>
      <c r="P32" s="10">
        <v>3.04406</v>
      </c>
    </row>
    <row r="33" spans="1:16" s="12" customFormat="1" ht="12.9" customHeight="1" x14ac:dyDescent="0.25">
      <c r="A33" s="18" t="s">
        <v>23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 ht="15" customHeight="1" x14ac:dyDescent="0.25">
      <c r="A34" s="14" t="s">
        <v>24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6" ht="15" customHeight="1" x14ac:dyDescent="0.25">
      <c r="A35" s="15" t="s">
        <v>25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6" ht="15" customHeight="1" x14ac:dyDescent="0.25">
      <c r="A36" s="15" t="s">
        <v>26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6" ht="12.9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</sheetData>
  <mergeCells count="9">
    <mergeCell ref="A1:O1"/>
    <mergeCell ref="A34:O34"/>
    <mergeCell ref="A35:O35"/>
    <mergeCell ref="A36:O36"/>
    <mergeCell ref="A37:O37"/>
    <mergeCell ref="A4:P4"/>
    <mergeCell ref="A14:P14"/>
    <mergeCell ref="A24:P24"/>
    <mergeCell ref="A33:P33"/>
  </mergeCells>
  <printOptions horizontalCentered="1"/>
  <pageMargins left="0.08" right="0.08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BIP pro Kanton</vt:lpstr>
      <vt:lpstr>BIP pro Grossregion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Vetterli David BFS</dc:creator>
  <cp:lastModifiedBy>Yannick Wirz</cp:lastModifiedBy>
  <dcterms:created xsi:type="dcterms:W3CDTF">2024-10-22T07:21:37Z</dcterms:created>
  <dcterms:modified xsi:type="dcterms:W3CDTF">2026-09-17T11:03:34Z</dcterms:modified>
</cp:coreProperties>
</file>