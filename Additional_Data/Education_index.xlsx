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ium\X_Masterarbeit\Data\Master_Thesis\Education_Index\"/>
    </mc:Choice>
  </mc:AlternateContent>
  <xr:revisionPtr revIDLastSave="0" documentId="13_ncr:1_{7D10F2D1-008F-4277-BFD2-09E7A46340FB}" xr6:coauthVersionLast="47" xr6:coauthVersionMax="47" xr10:uidLastSave="{00000000-0000-0000-0000-000000000000}"/>
  <bookViews>
    <workbookView xWindow="-108" yWindow="-108" windowWidth="23256" windowHeight="13896" xr2:uid="{3BF03851-397F-463C-B737-4DF3CEE5434A}"/>
  </bookViews>
  <sheets>
    <sheet name="Table 1. HD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" l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8" i="1"/>
</calcChain>
</file>

<file path=xl/sharedStrings.xml><?xml version="1.0" encoding="utf-8"?>
<sst xmlns="http://schemas.openxmlformats.org/spreadsheetml/2006/main" count="648" uniqueCount="435">
  <si>
    <t>Table 1. Human Development Index and its components</t>
  </si>
  <si>
    <t>SDG3</t>
  </si>
  <si>
    <t>SDG4.3</t>
  </si>
  <si>
    <t>SDG4.4</t>
  </si>
  <si>
    <t>SDG8.5</t>
  </si>
  <si>
    <t xml:space="preserve">Human Development Index (HDI) </t>
  </si>
  <si>
    <t>Life expectancy at birth</t>
  </si>
  <si>
    <t>Expected years of schooling</t>
  </si>
  <si>
    <t>Mean years of schooling</t>
  </si>
  <si>
    <t>Gross national income (GNI) per capita</t>
  </si>
  <si>
    <t>GNI per capita rank minus HDI rank</t>
  </si>
  <si>
    <t>HDI rank</t>
  </si>
  <si>
    <t>Country</t>
  </si>
  <si>
    <t>Value</t>
  </si>
  <si>
    <t>(years)</t>
  </si>
  <si>
    <t>(2021 PPP $)</t>
  </si>
  <si>
    <t>a</t>
  </si>
  <si>
    <t>b</t>
  </si>
  <si>
    <t>Iceland</t>
  </si>
  <si>
    <t>c</t>
  </si>
  <si>
    <t>d</t>
  </si>
  <si>
    <t>Norway</t>
  </si>
  <si>
    <t>e</t>
  </si>
  <si>
    <t>f</t>
  </si>
  <si>
    <t>Switzerland</t>
  </si>
  <si>
    <t>Denmark</t>
  </si>
  <si>
    <t>Germany</t>
  </si>
  <si>
    <t>Sweden</t>
  </si>
  <si>
    <t>Australia</t>
  </si>
  <si>
    <t>Hong Kong, China (SAR)</t>
  </si>
  <si>
    <t>g</t>
  </si>
  <si>
    <t>Netherlands</t>
  </si>
  <si>
    <t>Belgium</t>
  </si>
  <si>
    <t>Ireland</t>
  </si>
  <si>
    <t>Finland</t>
  </si>
  <si>
    <t>Singapore</t>
  </si>
  <si>
    <t>United Kingdom</t>
  </si>
  <si>
    <t>United Arab Emirates</t>
  </si>
  <si>
    <t>Canada</t>
  </si>
  <si>
    <t>Liechtenstein</t>
  </si>
  <si>
    <t>h</t>
  </si>
  <si>
    <t>f,i</t>
  </si>
  <si>
    <t>New Zealand</t>
  </si>
  <si>
    <t>United States</t>
  </si>
  <si>
    <t>Korea (Republic of)</t>
  </si>
  <si>
    <t>Slovenia</t>
  </si>
  <si>
    <t>Austria</t>
  </si>
  <si>
    <t>Japan</t>
  </si>
  <si>
    <t>Malta</t>
  </si>
  <si>
    <t>Luxembourg</t>
  </si>
  <si>
    <t>France</t>
  </si>
  <si>
    <t>Israel</t>
  </si>
  <si>
    <t>Spain</t>
  </si>
  <si>
    <t>Czechia</t>
  </si>
  <si>
    <t>Italy</t>
  </si>
  <si>
    <t>San Marino</t>
  </si>
  <si>
    <t>Andorra</t>
  </si>
  <si>
    <t>Cyprus</t>
  </si>
  <si>
    <t>Greece</t>
  </si>
  <si>
    <t>Poland</t>
  </si>
  <si>
    <t>Estonia</t>
  </si>
  <si>
    <t>Saudi Arabia</t>
  </si>
  <si>
    <t>Bahrain</t>
  </si>
  <si>
    <t>Lithuania</t>
  </si>
  <si>
    <t>Portugal</t>
  </si>
  <si>
    <t>Croatia</t>
  </si>
  <si>
    <t>j</t>
  </si>
  <si>
    <t>Latvia</t>
  </si>
  <si>
    <t>Qatar</t>
  </si>
  <si>
    <t>Slovakia</t>
  </si>
  <si>
    <t>Chile</t>
  </si>
  <si>
    <t>Hungary</t>
  </si>
  <si>
    <t>Argentina</t>
  </si>
  <si>
    <t>Montenegro</t>
  </si>
  <si>
    <t>Uruguay</t>
  </si>
  <si>
    <t>Oman</t>
  </si>
  <si>
    <t>Türkiye</t>
  </si>
  <si>
    <t>Kuwait</t>
  </si>
  <si>
    <t>Antigua and Barbuda</t>
  </si>
  <si>
    <t>Seychelles</t>
  </si>
  <si>
    <t>Bulgaria</t>
  </si>
  <si>
    <t>Romania</t>
  </si>
  <si>
    <t>Georgia</t>
  </si>
  <si>
    <t>Saint Kitts and Nevis</t>
  </si>
  <si>
    <t>c,k</t>
  </si>
  <si>
    <t>l</t>
  </si>
  <si>
    <t>Panama</t>
  </si>
  <si>
    <t>Brunei Darussalam</t>
  </si>
  <si>
    <t>m</t>
  </si>
  <si>
    <t>Kazakhstan</t>
  </si>
  <si>
    <t>Costa Rica</t>
  </si>
  <si>
    <t>Serbia</t>
  </si>
  <si>
    <t>Russian Federation</t>
  </si>
  <si>
    <t>Belarus</t>
  </si>
  <si>
    <t>Bahamas</t>
  </si>
  <si>
    <t>n</t>
  </si>
  <si>
    <t>Malaysia</t>
  </si>
  <si>
    <t>North Macedonia</t>
  </si>
  <si>
    <t>Armenia</t>
  </si>
  <si>
    <t>Barbados</t>
  </si>
  <si>
    <t>Albania</t>
  </si>
  <si>
    <t>Trinidad and Tobago</t>
  </si>
  <si>
    <t>o</t>
  </si>
  <si>
    <t>Mauritius</t>
  </si>
  <si>
    <t>Bosnia and Herzegovina</t>
  </si>
  <si>
    <t>Iran (Islamic Republic of)</t>
  </si>
  <si>
    <t>Saint Vincent and the Grenadines</t>
  </si>
  <si>
    <t>p</t>
  </si>
  <si>
    <t>Thailand</t>
  </si>
  <si>
    <t>China</t>
  </si>
  <si>
    <t>Peru</t>
  </si>
  <si>
    <t>Grenada</t>
  </si>
  <si>
    <t>q</t>
  </si>
  <si>
    <t>Azerbaijan</t>
  </si>
  <si>
    <t>Mexico</t>
  </si>
  <si>
    <t>Colombia</t>
  </si>
  <si>
    <t>Brazil</t>
  </si>
  <si>
    <t>Palau</t>
  </si>
  <si>
    <t>Moldova (Republic of)</t>
  </si>
  <si>
    <t>Ukraine</t>
  </si>
  <si>
    <t>Ecuador</t>
  </si>
  <si>
    <t>Dominican Republic</t>
  </si>
  <si>
    <t>Guyana</t>
  </si>
  <si>
    <t>Sri Lanka</t>
  </si>
  <si>
    <t>Tonga</t>
  </si>
  <si>
    <t>Maldives</t>
  </si>
  <si>
    <t>Viet Nam</t>
  </si>
  <si>
    <t>Turkmenistan</t>
  </si>
  <si>
    <t>Algeria</t>
  </si>
  <si>
    <t>Cuba</t>
  </si>
  <si>
    <t>r</t>
  </si>
  <si>
    <t>Dominica</t>
  </si>
  <si>
    <t>Paraguay</t>
  </si>
  <si>
    <t>Egypt</t>
  </si>
  <si>
    <t>Jordan</t>
  </si>
  <si>
    <t>Lebanon</t>
  </si>
  <si>
    <t>s</t>
  </si>
  <si>
    <t>Saint Lucia</t>
  </si>
  <si>
    <t>Mongolia</t>
  </si>
  <si>
    <t>Tunisia</t>
  </si>
  <si>
    <t>South Africa</t>
  </si>
  <si>
    <t>Uzbekistan</t>
  </si>
  <si>
    <t>Bolivia (Plurinational State of)</t>
  </si>
  <si>
    <t>Gabon</t>
  </si>
  <si>
    <t>Marshall Islands</t>
  </si>
  <si>
    <t>Botswana</t>
  </si>
  <si>
    <t>Fiji</t>
  </si>
  <si>
    <t>Indonesia</t>
  </si>
  <si>
    <t>Suriname</t>
  </si>
  <si>
    <t>Belize</t>
  </si>
  <si>
    <t>Libya</t>
  </si>
  <si>
    <t>Jamaica</t>
  </si>
  <si>
    <t>t</t>
  </si>
  <si>
    <t>Kyrgyzstan</t>
  </si>
  <si>
    <t>Philippines</t>
  </si>
  <si>
    <t>Morocco</t>
  </si>
  <si>
    <t>Venezuela (Bolivarian Republic of)</t>
  </si>
  <si>
    <t>u</t>
  </si>
  <si>
    <t>Samoa</t>
  </si>
  <si>
    <t>Nicaragua</t>
  </si>
  <si>
    <t>Nauru</t>
  </si>
  <si>
    <t>Bhutan</t>
  </si>
  <si>
    <t>Eswatini (Kingdom of)</t>
  </si>
  <si>
    <t>Iraq</t>
  </si>
  <si>
    <t>v</t>
  </si>
  <si>
    <t>Tajikistan</t>
  </si>
  <si>
    <t>Tuvalu</t>
  </si>
  <si>
    <t>w</t>
  </si>
  <si>
    <t>Bangladesh</t>
  </si>
  <si>
    <t>India</t>
  </si>
  <si>
    <t>El Salvador</t>
  </si>
  <si>
    <t>Equatorial Guinea</t>
  </si>
  <si>
    <t>Palestine, State of</t>
  </si>
  <si>
    <t>Cabo Verde</t>
  </si>
  <si>
    <t>Namibia</t>
  </si>
  <si>
    <t>x</t>
  </si>
  <si>
    <t>Guatemala</t>
  </si>
  <si>
    <t>Congo</t>
  </si>
  <si>
    <t>Honduras</t>
  </si>
  <si>
    <t>Kiribati</t>
  </si>
  <si>
    <t>y</t>
  </si>
  <si>
    <t>Sao Tome and Principe</t>
  </si>
  <si>
    <t>Timor-Leste</t>
  </si>
  <si>
    <t>Ghana</t>
  </si>
  <si>
    <t>Kenya</t>
  </si>
  <si>
    <t>Nepal</t>
  </si>
  <si>
    <t>Vanuatu</t>
  </si>
  <si>
    <t>Lao People's Democratic Republic</t>
  </si>
  <si>
    <t>Angola</t>
  </si>
  <si>
    <t>Micronesia (Federated States of)</t>
  </si>
  <si>
    <t>Myanmar</t>
  </si>
  <si>
    <t>z</t>
  </si>
  <si>
    <t>aa</t>
  </si>
  <si>
    <t>Cambodia</t>
  </si>
  <si>
    <t>Comoros</t>
  </si>
  <si>
    <t>Zimbabwe</t>
  </si>
  <si>
    <t>Zambia</t>
  </si>
  <si>
    <t>ab</t>
  </si>
  <si>
    <t>Cameroon</t>
  </si>
  <si>
    <t>Solomon Islands</t>
  </si>
  <si>
    <t>Côte d'Ivoire</t>
  </si>
  <si>
    <t>Uganda</t>
  </si>
  <si>
    <t>Rwanda</t>
  </si>
  <si>
    <t>Papua New Guinea</t>
  </si>
  <si>
    <t>Togo</t>
  </si>
  <si>
    <t>Syrian Arab Republic</t>
  </si>
  <si>
    <t>Mauritania</t>
  </si>
  <si>
    <t>Nigeria</t>
  </si>
  <si>
    <t>Tanzania (United Republic of)</t>
  </si>
  <si>
    <t>Haiti</t>
  </si>
  <si>
    <t>ac</t>
  </si>
  <si>
    <t>Lesotho</t>
  </si>
  <si>
    <t>Pakistan</t>
  </si>
  <si>
    <t>Senegal</t>
  </si>
  <si>
    <t>Gambia</t>
  </si>
  <si>
    <t>Congo (Democratic Republic of the)</t>
  </si>
  <si>
    <t>Malawi</t>
  </si>
  <si>
    <t>Benin</t>
  </si>
  <si>
    <t>Guinea-Bissau</t>
  </si>
  <si>
    <t>Djibouti</t>
  </si>
  <si>
    <t>Sudan</t>
  </si>
  <si>
    <t>Liberia</t>
  </si>
  <si>
    <t>Eritrea</t>
  </si>
  <si>
    <t>Guinea</t>
  </si>
  <si>
    <t>Ethiopia</t>
  </si>
  <si>
    <t>Afghanistan</t>
  </si>
  <si>
    <t>Mozambique</t>
  </si>
  <si>
    <t>Madagascar</t>
  </si>
  <si>
    <t>Yemen</t>
  </si>
  <si>
    <t>Sierra Leone</t>
  </si>
  <si>
    <t>Burkina Faso</t>
  </si>
  <si>
    <t>Burundi</t>
  </si>
  <si>
    <t>Mali</t>
  </si>
  <si>
    <t>Niger</t>
  </si>
  <si>
    <t>Chad</t>
  </si>
  <si>
    <t>Central African Republic</t>
  </si>
  <si>
    <t>..</t>
  </si>
  <si>
    <t>Somalia</t>
  </si>
  <si>
    <t>South Sudan</t>
  </si>
  <si>
    <t>ad</t>
  </si>
  <si>
    <t>ADM0_A3</t>
  </si>
  <si>
    <t>Education_Index</t>
  </si>
  <si>
    <t>CHE</t>
  </si>
  <si>
    <t>ISL</t>
  </si>
  <si>
    <t>NOR</t>
  </si>
  <si>
    <t>DNK</t>
  </si>
  <si>
    <t>DEU</t>
  </si>
  <si>
    <t>SWE</t>
  </si>
  <si>
    <t>AUS</t>
  </si>
  <si>
    <t>HKG</t>
  </si>
  <si>
    <t>NLD</t>
  </si>
  <si>
    <t>BEL</t>
  </si>
  <si>
    <t>IRL</t>
  </si>
  <si>
    <t>FIN</t>
  </si>
  <si>
    <t>SGP</t>
  </si>
  <si>
    <t>GBR</t>
  </si>
  <si>
    <t>ARE</t>
  </si>
  <si>
    <t>CAN</t>
  </si>
  <si>
    <t>LIE</t>
  </si>
  <si>
    <t>NZL</t>
  </si>
  <si>
    <t>USA</t>
  </si>
  <si>
    <t>KOR</t>
  </si>
  <si>
    <t>SVN</t>
  </si>
  <si>
    <t>AUT</t>
  </si>
  <si>
    <t>JPN</t>
  </si>
  <si>
    <t>MLT</t>
  </si>
  <si>
    <t>LUX</t>
  </si>
  <si>
    <t>FRA</t>
  </si>
  <si>
    <t>ISR</t>
  </si>
  <si>
    <t>ESP</t>
  </si>
  <si>
    <t>CZE</t>
  </si>
  <si>
    <t>ITA</t>
  </si>
  <si>
    <t>SMR</t>
  </si>
  <si>
    <t>AND</t>
  </si>
  <si>
    <t>CYP</t>
  </si>
  <si>
    <t>GRC</t>
  </si>
  <si>
    <t>POL</t>
  </si>
  <si>
    <t>EST</t>
  </si>
  <si>
    <t>SAU</t>
  </si>
  <si>
    <t>BHR</t>
  </si>
  <si>
    <t>LTU</t>
  </si>
  <si>
    <t>PRT</t>
  </si>
  <si>
    <t>HRV</t>
  </si>
  <si>
    <t>LVA</t>
  </si>
  <si>
    <t>QAT</t>
  </si>
  <si>
    <t>SVK</t>
  </si>
  <si>
    <t>CHL</t>
  </si>
  <si>
    <t>HUN</t>
  </si>
  <si>
    <t>ARG</t>
  </si>
  <si>
    <t>MNE</t>
  </si>
  <si>
    <t>URY</t>
  </si>
  <si>
    <t>OMN</t>
  </si>
  <si>
    <t>TUR</t>
  </si>
  <si>
    <t>KWT</t>
  </si>
  <si>
    <t>ATG</t>
  </si>
  <si>
    <t>SYC</t>
  </si>
  <si>
    <t>BGR</t>
  </si>
  <si>
    <t>ROU</t>
  </si>
  <si>
    <t>GEO</t>
  </si>
  <si>
    <t>KNA</t>
  </si>
  <si>
    <t>PAN</t>
  </si>
  <si>
    <t>BRN</t>
  </si>
  <si>
    <t>KAZ</t>
  </si>
  <si>
    <t>CRI</t>
  </si>
  <si>
    <t>SRB</t>
  </si>
  <si>
    <t>RUS</t>
  </si>
  <si>
    <t>BLR</t>
  </si>
  <si>
    <t>BHS</t>
  </si>
  <si>
    <t>MYS</t>
  </si>
  <si>
    <t>MKD</t>
  </si>
  <si>
    <t>ARM</t>
  </si>
  <si>
    <t>BRB</t>
  </si>
  <si>
    <t>ALB</t>
  </si>
  <si>
    <t>TTO</t>
  </si>
  <si>
    <t>MUS</t>
  </si>
  <si>
    <t>BIH</t>
  </si>
  <si>
    <t>IRN</t>
  </si>
  <si>
    <t>VCT</t>
  </si>
  <si>
    <t>THA</t>
  </si>
  <si>
    <t>CHN</t>
  </si>
  <si>
    <t>PER</t>
  </si>
  <si>
    <t>GRD</t>
  </si>
  <si>
    <t>AZE</t>
  </si>
  <si>
    <t>MEX</t>
  </si>
  <si>
    <t>COL</t>
  </si>
  <si>
    <t>BRA</t>
  </si>
  <si>
    <t>PLW</t>
  </si>
  <si>
    <t>MDA</t>
  </si>
  <si>
    <t>UKR</t>
  </si>
  <si>
    <t>ECU</t>
  </si>
  <si>
    <t>DOM</t>
  </si>
  <si>
    <t>GUY</t>
  </si>
  <si>
    <t>LKA</t>
  </si>
  <si>
    <t>TON</t>
  </si>
  <si>
    <t>MDV</t>
  </si>
  <si>
    <t>VNM</t>
  </si>
  <si>
    <t>TKM</t>
  </si>
  <si>
    <t>DZA</t>
  </si>
  <si>
    <t>CUB</t>
  </si>
  <si>
    <t>DMA</t>
  </si>
  <si>
    <t>PRY</t>
  </si>
  <si>
    <t>EGY</t>
  </si>
  <si>
    <t>JOR</t>
  </si>
  <si>
    <t>LBN</t>
  </si>
  <si>
    <t>LCA</t>
  </si>
  <si>
    <t>MNG</t>
  </si>
  <si>
    <t>TUN</t>
  </si>
  <si>
    <t>ZAF</t>
  </si>
  <si>
    <t>UZB</t>
  </si>
  <si>
    <t>BOL</t>
  </si>
  <si>
    <t>GAB</t>
  </si>
  <si>
    <t>MHL</t>
  </si>
  <si>
    <t>BWA</t>
  </si>
  <si>
    <t>FJI</t>
  </si>
  <si>
    <t>IDN</t>
  </si>
  <si>
    <t>SUR</t>
  </si>
  <si>
    <t>BLZ</t>
  </si>
  <si>
    <t>LBY</t>
  </si>
  <si>
    <t>JAM</t>
  </si>
  <si>
    <t>KGZ</t>
  </si>
  <si>
    <t>PHL</t>
  </si>
  <si>
    <t>MAR</t>
  </si>
  <si>
    <t>VEN</t>
  </si>
  <si>
    <t>WSM</t>
  </si>
  <si>
    <t>NIC</t>
  </si>
  <si>
    <t>NRU</t>
  </si>
  <si>
    <t>BTN</t>
  </si>
  <si>
    <t>SWZ</t>
  </si>
  <si>
    <t>IRQ</t>
  </si>
  <si>
    <t>TJK</t>
  </si>
  <si>
    <t>TUV</t>
  </si>
  <si>
    <t>BGD</t>
  </si>
  <si>
    <t>IND</t>
  </si>
  <si>
    <t>SLV</t>
  </si>
  <si>
    <t>GNQ</t>
  </si>
  <si>
    <t>PSE</t>
  </si>
  <si>
    <t>CPV</t>
  </si>
  <si>
    <t>NAM</t>
  </si>
  <si>
    <t>GTM</t>
  </si>
  <si>
    <t>COG</t>
  </si>
  <si>
    <t>HND</t>
  </si>
  <si>
    <t>KIR</t>
  </si>
  <si>
    <t>STP</t>
  </si>
  <si>
    <t>TLS</t>
  </si>
  <si>
    <t>GHA</t>
  </si>
  <si>
    <t>KEN</t>
  </si>
  <si>
    <t>NPL</t>
  </si>
  <si>
    <t>VUT</t>
  </si>
  <si>
    <t>LAO</t>
  </si>
  <si>
    <t>AGO</t>
  </si>
  <si>
    <t>FSM</t>
  </si>
  <si>
    <t>MMR</t>
  </si>
  <si>
    <t>KHM</t>
  </si>
  <si>
    <t>COM</t>
  </si>
  <si>
    <t>ZWE</t>
  </si>
  <si>
    <t>ZMB</t>
  </si>
  <si>
    <t>CMR</t>
  </si>
  <si>
    <t>SLB</t>
  </si>
  <si>
    <t>CIV</t>
  </si>
  <si>
    <t>UGA</t>
  </si>
  <si>
    <t>RWA</t>
  </si>
  <si>
    <t>PNG</t>
  </si>
  <si>
    <t>TGO</t>
  </si>
  <si>
    <t>SYR</t>
  </si>
  <si>
    <t>MRT</t>
  </si>
  <si>
    <t>NGA</t>
  </si>
  <si>
    <t>TZA</t>
  </si>
  <si>
    <t>HTI</t>
  </si>
  <si>
    <t>LSO</t>
  </si>
  <si>
    <t>PAK</t>
  </si>
  <si>
    <t>SEN</t>
  </si>
  <si>
    <t>GMB</t>
  </si>
  <si>
    <t>COD</t>
  </si>
  <si>
    <t>MWI</t>
  </si>
  <si>
    <t>BEN</t>
  </si>
  <si>
    <t>GNB</t>
  </si>
  <si>
    <t>DJI</t>
  </si>
  <si>
    <t>SDN</t>
  </si>
  <si>
    <t>LBR</t>
  </si>
  <si>
    <t>ERI</t>
  </si>
  <si>
    <t>GIN</t>
  </si>
  <si>
    <t>ETH</t>
  </si>
  <si>
    <t>AFG</t>
  </si>
  <si>
    <t>MOZ</t>
  </si>
  <si>
    <t>MDG</t>
  </si>
  <si>
    <t>YEM</t>
  </si>
  <si>
    <t>SLE</t>
  </si>
  <si>
    <t>BFA</t>
  </si>
  <si>
    <t>BDI</t>
  </si>
  <si>
    <t>MLI</t>
  </si>
  <si>
    <t>NER</t>
  </si>
  <si>
    <t>TCD</t>
  </si>
  <si>
    <t>CAF</t>
  </si>
  <si>
    <t>SOM</t>
  </si>
  <si>
    <t>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</si>
</sst>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"/>
    <numFmt numFmtId="165" formatCode="#,###,##0.000"/>
    <numFmt numFmtId="166" formatCode="#,###,##0.0"/>
  </numFmts>
  <fonts count="8" x14ac:knownFonts="1"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vertAlign val="superscript"/>
      <sz val="11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22">
    <xf numFmtId="0" fontId="0" fillId="0" borderId="0" xfId="0"/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wrapText="1"/>
    </xf>
    <xf numFmtId="0" fontId="4" fillId="0" borderId="0" xfId="0" applyNumberFormat="1" applyFont="1" applyFill="1" applyBorder="1" applyAlignment="1"/>
    <xf numFmtId="0" fontId="5" fillId="2" borderId="0" xfId="1" applyFont="1" applyFill="1" applyAlignment="1">
      <alignment vertical="center"/>
    </xf>
    <xf numFmtId="0" fontId="5" fillId="2" borderId="0" xfId="0" applyFont="1" applyFill="1" applyAlignment="1">
      <alignment vertical="center"/>
    </xf>
    <xf numFmtId="164" fontId="6" fillId="0" borderId="0" xfId="0" applyNumberFormat="1" applyFont="1" applyFill="1" applyBorder="1" applyAlignment="1">
      <alignment horizontal="center"/>
    </xf>
    <xf numFmtId="0" fontId="6" fillId="0" borderId="0" xfId="0" applyNumberFormat="1" applyFont="1" applyFill="1" applyBorder="1" applyAlignment="1"/>
    <xf numFmtId="165" fontId="6" fillId="0" borderId="0" xfId="0" applyNumberFormat="1" applyFont="1" applyFill="1" applyBorder="1" applyAlignment="1">
      <alignment horizontal="center"/>
    </xf>
    <xf numFmtId="166" fontId="6" fillId="0" borderId="0" xfId="0" applyNumberFormat="1" applyFont="1" applyFill="1" applyBorder="1" applyAlignment="1">
      <alignment horizontal="center"/>
    </xf>
    <xf numFmtId="0" fontId="6" fillId="0" borderId="0" xfId="0" applyNumberFormat="1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1" applyNumberFormat="1" applyFont="1" applyFill="1" applyBorder="1" applyAlignment="1"/>
    <xf numFmtId="0" fontId="2" fillId="0" borderId="0" xfId="1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2">
    <cellStyle name="Normal 2" xfId="1" xr:uid="{252B4E0E-60AC-4AF7-BBA0-8E0ECD0247B4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463F-3EFF-456F-821E-4E264CB4F385}">
  <dimension ref="A1:R275"/>
  <sheetViews>
    <sheetView tabSelected="1" topLeftCell="E1" zoomScaleNormal="100" workbookViewId="0">
      <selection activeCell="A8" sqref="A8:XFD8"/>
    </sheetView>
  </sheetViews>
  <sheetFormatPr baseColWidth="10" defaultColWidth="9.33203125" defaultRowHeight="13.2" x14ac:dyDescent="0.25"/>
  <cols>
    <col min="1" max="1" width="9.6640625" style="1" customWidth="1"/>
    <col min="2" max="2" width="36.44140625" style="1" customWidth="1"/>
    <col min="3" max="3" width="26" style="1" customWidth="1"/>
    <col min="4" max="4" width="2" style="1" customWidth="1"/>
    <col min="5" max="5" width="21.33203125" style="1" customWidth="1"/>
    <col min="6" max="6" width="2" style="1" bestFit="1" customWidth="1"/>
    <col min="7" max="7" width="20.44140625" style="1" customWidth="1"/>
    <col min="8" max="8" width="2.6640625" style="1" bestFit="1" customWidth="1"/>
    <col min="9" max="9" width="21.44140625" style="1" customWidth="1"/>
    <col min="10" max="10" width="2" style="1" bestFit="1" customWidth="1"/>
    <col min="11" max="11" width="24.109375" style="1" customWidth="1"/>
    <col min="12" max="12" width="2" style="1" bestFit="1" customWidth="1"/>
    <col min="13" max="13" width="22.88671875" style="1" customWidth="1"/>
    <col min="14" max="14" width="2" style="1" customWidth="1"/>
    <col min="15" max="15" width="12" style="1" customWidth="1"/>
    <col min="16" max="16" width="2" style="1" customWidth="1"/>
    <col min="17" max="16384" width="9.33203125" style="1"/>
  </cols>
  <sheetData>
    <row r="1" spans="1:18" ht="13.8" x14ac:dyDescent="0.25">
      <c r="B1" s="2" t="s">
        <v>0</v>
      </c>
    </row>
    <row r="2" spans="1:18" ht="11.4" customHeight="1" x14ac:dyDescent="0.25">
      <c r="B2" s="2"/>
    </row>
    <row r="3" spans="1:18" ht="12.9" customHeight="1" x14ac:dyDescent="0.25">
      <c r="E3" s="3" t="s">
        <v>1</v>
      </c>
      <c r="G3" s="3" t="s">
        <v>2</v>
      </c>
      <c r="I3" s="3" t="s">
        <v>3</v>
      </c>
      <c r="K3" s="3" t="s">
        <v>4</v>
      </c>
    </row>
    <row r="5" spans="1:18" ht="50.1" customHeight="1" x14ac:dyDescent="0.25">
      <c r="A5" s="3"/>
      <c r="C5" s="4" t="s">
        <v>5</v>
      </c>
      <c r="E5" s="4" t="s">
        <v>6</v>
      </c>
      <c r="G5" s="4" t="s">
        <v>7</v>
      </c>
      <c r="I5" s="4" t="s">
        <v>8</v>
      </c>
      <c r="K5" s="4" t="s">
        <v>9</v>
      </c>
      <c r="M5" s="4" t="s">
        <v>10</v>
      </c>
      <c r="O5" s="4" t="s">
        <v>11</v>
      </c>
      <c r="Q5" s="1" t="s">
        <v>241</v>
      </c>
      <c r="R5" s="1" t="s">
        <v>240</v>
      </c>
    </row>
    <row r="6" spans="1:18" ht="14.4" customHeight="1" x14ac:dyDescent="0.25">
      <c r="A6" s="5" t="s">
        <v>11</v>
      </c>
      <c r="B6" s="3" t="s">
        <v>12</v>
      </c>
      <c r="C6" s="6" t="s">
        <v>13</v>
      </c>
      <c r="E6" s="6" t="s">
        <v>14</v>
      </c>
      <c r="G6" s="6" t="s">
        <v>14</v>
      </c>
      <c r="I6" s="6" t="s">
        <v>14</v>
      </c>
      <c r="K6" s="7" t="s">
        <v>15</v>
      </c>
      <c r="M6" s="6"/>
    </row>
    <row r="7" spans="1:18" ht="15.9" customHeight="1" x14ac:dyDescent="0.25">
      <c r="C7" s="3">
        <v>2023</v>
      </c>
      <c r="E7" s="3">
        <v>2023</v>
      </c>
      <c r="G7" s="3">
        <v>2023</v>
      </c>
      <c r="H7" s="8" t="s">
        <v>16</v>
      </c>
      <c r="I7" s="3">
        <v>2023</v>
      </c>
      <c r="J7" s="8" t="s">
        <v>16</v>
      </c>
      <c r="K7" s="3">
        <v>2023</v>
      </c>
      <c r="M7" s="3">
        <v>2023</v>
      </c>
      <c r="N7" s="8" t="s">
        <v>17</v>
      </c>
      <c r="O7" s="3">
        <v>2022</v>
      </c>
    </row>
    <row r="8" spans="1:18" ht="15.9" customHeight="1" x14ac:dyDescent="0.25">
      <c r="A8" s="11">
        <v>1</v>
      </c>
      <c r="B8" s="12" t="s">
        <v>18</v>
      </c>
      <c r="C8" s="13">
        <v>0.97199999999999998</v>
      </c>
      <c r="E8" s="14">
        <v>82.691000000000003</v>
      </c>
      <c r="G8" s="14">
        <v>18.850589750000001</v>
      </c>
      <c r="H8" s="8" t="s">
        <v>19</v>
      </c>
      <c r="I8" s="14">
        <v>13.908926279999999</v>
      </c>
      <c r="J8" s="8" t="s">
        <v>20</v>
      </c>
      <c r="K8" s="11">
        <v>69116.937359999996</v>
      </c>
      <c r="M8" s="11">
        <v>12</v>
      </c>
      <c r="O8" s="11">
        <v>3</v>
      </c>
      <c r="Q8" s="1">
        <f>0.5*(MIN(G8,18)/18)+0.5*(MIN(I8,15)/15)</f>
        <v>0.96363087599999997</v>
      </c>
      <c r="R8" s="21" t="s">
        <v>243</v>
      </c>
    </row>
    <row r="9" spans="1:18" ht="15.9" customHeight="1" x14ac:dyDescent="0.25">
      <c r="A9" s="11">
        <v>2</v>
      </c>
      <c r="B9" s="12" t="s">
        <v>21</v>
      </c>
      <c r="C9" s="13">
        <v>0.97</v>
      </c>
      <c r="E9" s="14">
        <v>83.308000000000007</v>
      </c>
      <c r="G9" s="14">
        <v>18.792850489999999</v>
      </c>
      <c r="H9" s="8" t="s">
        <v>19</v>
      </c>
      <c r="I9" s="14">
        <v>13.117962179999999</v>
      </c>
      <c r="J9" s="8" t="s">
        <v>22</v>
      </c>
      <c r="K9" s="11">
        <v>112710.0211</v>
      </c>
      <c r="L9" s="8" t="s">
        <v>23</v>
      </c>
      <c r="M9" s="11">
        <v>0</v>
      </c>
      <c r="O9" s="11">
        <v>1</v>
      </c>
      <c r="Q9" s="1">
        <f t="shared" ref="Q9:Q72" si="0">0.5*(MIN(G9,18)/18)+0.5*(MIN(I9,15)/15)</f>
        <v>0.93726540599999997</v>
      </c>
      <c r="R9" s="21" t="s">
        <v>244</v>
      </c>
    </row>
    <row r="10" spans="1:18" ht="15.9" customHeight="1" x14ac:dyDescent="0.25">
      <c r="A10" s="11">
        <v>2</v>
      </c>
      <c r="B10" s="12" t="s">
        <v>24</v>
      </c>
      <c r="C10" s="13">
        <v>0.97</v>
      </c>
      <c r="E10" s="14">
        <v>83.953999999999994</v>
      </c>
      <c r="G10" s="14">
        <v>16.667530060000001</v>
      </c>
      <c r="I10" s="14">
        <v>13.94912109</v>
      </c>
      <c r="J10" s="8" t="s">
        <v>22</v>
      </c>
      <c r="K10" s="11">
        <v>81948.901769999997</v>
      </c>
      <c r="L10" s="8" t="s">
        <v>23</v>
      </c>
      <c r="M10" s="11">
        <v>5</v>
      </c>
      <c r="O10" s="11">
        <v>2</v>
      </c>
      <c r="Q10" s="1">
        <f t="shared" si="0"/>
        <v>0.92795764911111112</v>
      </c>
      <c r="R10" s="21" t="s">
        <v>242</v>
      </c>
    </row>
    <row r="11" spans="1:18" ht="15.9" customHeight="1" x14ac:dyDescent="0.25">
      <c r="A11" s="11">
        <v>4</v>
      </c>
      <c r="B11" s="12" t="s">
        <v>25</v>
      </c>
      <c r="C11" s="13">
        <v>0.96199999999999997</v>
      </c>
      <c r="E11" s="14">
        <v>81.933000000000007</v>
      </c>
      <c r="G11" s="14">
        <v>18.704010010000001</v>
      </c>
      <c r="H11" s="8" t="s">
        <v>19</v>
      </c>
      <c r="I11" s="14">
        <v>13.027320599999999</v>
      </c>
      <c r="J11" s="8" t="s">
        <v>22</v>
      </c>
      <c r="K11" s="11">
        <v>76007.856690000001</v>
      </c>
      <c r="L11" s="8" t="s">
        <v>23</v>
      </c>
      <c r="M11" s="11">
        <v>4</v>
      </c>
      <c r="O11" s="11">
        <v>4</v>
      </c>
      <c r="Q11" s="1">
        <f t="shared" si="0"/>
        <v>0.93424401999999995</v>
      </c>
      <c r="R11" s="21" t="s">
        <v>245</v>
      </c>
    </row>
    <row r="12" spans="1:18" ht="15.9" customHeight="1" x14ac:dyDescent="0.25">
      <c r="A12" s="11">
        <v>5</v>
      </c>
      <c r="B12" s="12" t="s">
        <v>26</v>
      </c>
      <c r="C12" s="13">
        <v>0.95899999999999996</v>
      </c>
      <c r="E12" s="14">
        <v>81.378</v>
      </c>
      <c r="G12" s="14">
        <v>17.30921936</v>
      </c>
      <c r="I12" s="14">
        <v>14.296371629999999</v>
      </c>
      <c r="J12" s="8" t="s">
        <v>22</v>
      </c>
      <c r="K12" s="11">
        <v>64053.221239999999</v>
      </c>
      <c r="M12" s="11">
        <v>13</v>
      </c>
      <c r="O12" s="11">
        <v>6</v>
      </c>
      <c r="Q12" s="1">
        <f t="shared" si="0"/>
        <v>0.95735736988888887</v>
      </c>
      <c r="R12" s="21" t="s">
        <v>246</v>
      </c>
    </row>
    <row r="13" spans="1:18" ht="15.9" customHeight="1" x14ac:dyDescent="0.25">
      <c r="A13" s="11">
        <v>5</v>
      </c>
      <c r="B13" s="12" t="s">
        <v>27</v>
      </c>
      <c r="C13" s="13">
        <v>0.95899999999999996</v>
      </c>
      <c r="E13" s="14">
        <v>83.262</v>
      </c>
      <c r="G13" s="14">
        <v>18.991470339999999</v>
      </c>
      <c r="H13" s="8" t="s">
        <v>19</v>
      </c>
      <c r="I13" s="14">
        <v>12.740325739999999</v>
      </c>
      <c r="J13" s="8" t="s">
        <v>22</v>
      </c>
      <c r="K13" s="11">
        <v>66102.085949999993</v>
      </c>
      <c r="M13" s="11">
        <v>10</v>
      </c>
      <c r="O13" s="11">
        <v>4</v>
      </c>
      <c r="Q13" s="1">
        <f t="shared" si="0"/>
        <v>0.92467752466666664</v>
      </c>
      <c r="R13" s="21" t="s">
        <v>247</v>
      </c>
    </row>
    <row r="14" spans="1:18" ht="15.9" customHeight="1" x14ac:dyDescent="0.25">
      <c r="A14" s="11">
        <v>7</v>
      </c>
      <c r="B14" s="12" t="s">
        <v>28</v>
      </c>
      <c r="C14" s="13">
        <v>0.95799999999999996</v>
      </c>
      <c r="E14" s="14">
        <v>83.923000000000002</v>
      </c>
      <c r="G14" s="14">
        <v>20.654779430000001</v>
      </c>
      <c r="H14" s="8" t="s">
        <v>19</v>
      </c>
      <c r="I14" s="14">
        <v>12.869999890000001</v>
      </c>
      <c r="K14" s="11">
        <v>58276.876429999997</v>
      </c>
      <c r="M14" s="11">
        <v>14</v>
      </c>
      <c r="O14" s="11">
        <v>8</v>
      </c>
      <c r="Q14" s="1">
        <f t="shared" si="0"/>
        <v>0.9289999963333333</v>
      </c>
      <c r="R14" s="21" t="s">
        <v>248</v>
      </c>
    </row>
    <row r="15" spans="1:18" ht="15.9" customHeight="1" x14ac:dyDescent="0.25">
      <c r="A15" s="11">
        <v>8</v>
      </c>
      <c r="B15" s="12" t="s">
        <v>29</v>
      </c>
      <c r="C15" s="13">
        <v>0.95499999999999996</v>
      </c>
      <c r="E15" s="14">
        <v>85.510999999999996</v>
      </c>
      <c r="F15" s="8" t="s">
        <v>30</v>
      </c>
      <c r="G15" s="14">
        <v>16.895860670000001</v>
      </c>
      <c r="I15" s="14">
        <v>12.350000380000001</v>
      </c>
      <c r="K15" s="11">
        <v>69435.757060000004</v>
      </c>
      <c r="M15" s="11">
        <v>4</v>
      </c>
      <c r="O15" s="11">
        <v>9</v>
      </c>
      <c r="Q15" s="1">
        <f t="shared" si="0"/>
        <v>0.8809961423888889</v>
      </c>
      <c r="R15" s="21" t="s">
        <v>249</v>
      </c>
    </row>
    <row r="16" spans="1:18" ht="15.9" customHeight="1" x14ac:dyDescent="0.25">
      <c r="A16" s="11">
        <v>8</v>
      </c>
      <c r="B16" s="12" t="s">
        <v>31</v>
      </c>
      <c r="C16" s="13">
        <v>0.95499999999999996</v>
      </c>
      <c r="E16" s="14">
        <v>82.158000000000001</v>
      </c>
      <c r="G16" s="14">
        <v>18.58485031</v>
      </c>
      <c r="H16" s="8" t="s">
        <v>19</v>
      </c>
      <c r="I16" s="14">
        <v>12.66994689</v>
      </c>
      <c r="J16" s="8" t="s">
        <v>22</v>
      </c>
      <c r="K16" s="11">
        <v>68344.308260000005</v>
      </c>
      <c r="M16" s="11">
        <v>6</v>
      </c>
      <c r="O16" s="11">
        <v>7</v>
      </c>
      <c r="Q16" s="1">
        <f t="shared" si="0"/>
        <v>0.92233156299999997</v>
      </c>
      <c r="R16" s="21" t="s">
        <v>250</v>
      </c>
    </row>
    <row r="17" spans="1:18" ht="15.9" customHeight="1" x14ac:dyDescent="0.25">
      <c r="A17" s="11">
        <v>10</v>
      </c>
      <c r="B17" s="12" t="s">
        <v>32</v>
      </c>
      <c r="C17" s="13">
        <v>0.95099999999999996</v>
      </c>
      <c r="E17" s="14">
        <v>82.114999999999995</v>
      </c>
      <c r="G17" s="14">
        <v>18.996030810000001</v>
      </c>
      <c r="H17" s="8" t="s">
        <v>19</v>
      </c>
      <c r="I17" s="14">
        <v>12.68965045</v>
      </c>
      <c r="J17" s="8" t="s">
        <v>22</v>
      </c>
      <c r="K17" s="11">
        <v>63582.475350000001</v>
      </c>
      <c r="M17" s="11">
        <v>9</v>
      </c>
      <c r="O17" s="11">
        <v>13</v>
      </c>
      <c r="Q17" s="1">
        <f t="shared" si="0"/>
        <v>0.92298834833333332</v>
      </c>
      <c r="R17" s="21" t="s">
        <v>251</v>
      </c>
    </row>
    <row r="18" spans="1:18" ht="15.9" customHeight="1" x14ac:dyDescent="0.25">
      <c r="A18" s="11">
        <v>11</v>
      </c>
      <c r="B18" s="12" t="s">
        <v>33</v>
      </c>
      <c r="C18" s="13">
        <v>0.94899999999999995</v>
      </c>
      <c r="E18" s="14">
        <v>82.412000000000006</v>
      </c>
      <c r="G18" s="14">
        <v>19.184879299999999</v>
      </c>
      <c r="H18" s="8" t="s">
        <v>19</v>
      </c>
      <c r="I18" s="14">
        <v>11.724999560000001</v>
      </c>
      <c r="J18" s="8" t="s">
        <v>22</v>
      </c>
      <c r="K18" s="11">
        <v>90884.634590000001</v>
      </c>
      <c r="L18" s="8" t="s">
        <v>23</v>
      </c>
      <c r="M18" s="11">
        <v>-6</v>
      </c>
      <c r="O18" s="11">
        <v>10</v>
      </c>
      <c r="Q18" s="1">
        <f t="shared" si="0"/>
        <v>0.89083331866666671</v>
      </c>
      <c r="R18" s="21" t="s">
        <v>252</v>
      </c>
    </row>
    <row r="19" spans="1:18" ht="15.9" customHeight="1" x14ac:dyDescent="0.25">
      <c r="A19" s="11">
        <v>12</v>
      </c>
      <c r="B19" s="12" t="s">
        <v>34</v>
      </c>
      <c r="C19" s="13">
        <v>0.94799999999999995</v>
      </c>
      <c r="E19" s="14">
        <v>81.91</v>
      </c>
      <c r="G19" s="14">
        <v>19.494089129999999</v>
      </c>
      <c r="H19" s="8" t="s">
        <v>19</v>
      </c>
      <c r="I19" s="14">
        <v>12.97962547</v>
      </c>
      <c r="J19" s="8" t="s">
        <v>22</v>
      </c>
      <c r="K19" s="11">
        <v>57067.636930000001</v>
      </c>
      <c r="M19" s="11">
        <v>10</v>
      </c>
      <c r="O19" s="11">
        <v>11</v>
      </c>
      <c r="Q19" s="1">
        <f t="shared" si="0"/>
        <v>0.93265418233333341</v>
      </c>
      <c r="R19" s="21" t="s">
        <v>253</v>
      </c>
    </row>
    <row r="20" spans="1:18" ht="15.9" customHeight="1" x14ac:dyDescent="0.25">
      <c r="A20" s="11">
        <v>13</v>
      </c>
      <c r="B20" s="12" t="s">
        <v>35</v>
      </c>
      <c r="C20" s="13">
        <v>0.94599999999999995</v>
      </c>
      <c r="E20" s="14">
        <v>83.736000000000004</v>
      </c>
      <c r="G20" s="14">
        <v>16.74227905</v>
      </c>
      <c r="I20" s="14">
        <v>11.989999770000001</v>
      </c>
      <c r="K20" s="11">
        <v>111239.2291</v>
      </c>
      <c r="L20" s="8" t="s">
        <v>23</v>
      </c>
      <c r="M20" s="11">
        <v>-10</v>
      </c>
      <c r="O20" s="11">
        <v>14</v>
      </c>
      <c r="Q20" s="1">
        <f t="shared" si="0"/>
        <v>0.86472996594444451</v>
      </c>
      <c r="R20" s="21" t="s">
        <v>254</v>
      </c>
    </row>
    <row r="21" spans="1:18" ht="15.9" customHeight="1" x14ac:dyDescent="0.25">
      <c r="A21" s="11">
        <v>13</v>
      </c>
      <c r="B21" s="12" t="s">
        <v>36</v>
      </c>
      <c r="C21" s="13">
        <v>0.94599999999999995</v>
      </c>
      <c r="E21" s="14">
        <v>81.302000000000007</v>
      </c>
      <c r="G21" s="14">
        <v>17.811069490000001</v>
      </c>
      <c r="I21" s="14">
        <v>13.489999770000001</v>
      </c>
      <c r="K21" s="11">
        <v>54371.586340000002</v>
      </c>
      <c r="M21" s="11">
        <v>13</v>
      </c>
      <c r="O21" s="11">
        <v>11</v>
      </c>
      <c r="Q21" s="1">
        <f t="shared" si="0"/>
        <v>0.94441858927777789</v>
      </c>
      <c r="R21" s="21" t="s">
        <v>255</v>
      </c>
    </row>
    <row r="22" spans="1:18" ht="15.9" customHeight="1" x14ac:dyDescent="0.25">
      <c r="A22" s="11">
        <v>15</v>
      </c>
      <c r="B22" s="12" t="s">
        <v>37</v>
      </c>
      <c r="C22" s="13">
        <v>0.94</v>
      </c>
      <c r="E22" s="14">
        <v>82.909000000000006</v>
      </c>
      <c r="G22" s="14">
        <v>15.601590160000001</v>
      </c>
      <c r="I22" s="14">
        <v>12.989999770000001</v>
      </c>
      <c r="K22" s="11">
        <v>71142.304749999996</v>
      </c>
      <c r="M22" s="11">
        <v>-4</v>
      </c>
      <c r="O22" s="11">
        <v>23</v>
      </c>
      <c r="Q22" s="1">
        <f t="shared" si="0"/>
        <v>0.86637749677777776</v>
      </c>
      <c r="R22" s="21" t="s">
        <v>256</v>
      </c>
    </row>
    <row r="23" spans="1:18" ht="15.9" customHeight="1" x14ac:dyDescent="0.25">
      <c r="A23" s="11">
        <v>16</v>
      </c>
      <c r="B23" s="12" t="s">
        <v>38</v>
      </c>
      <c r="C23" s="13">
        <v>0.93899999999999995</v>
      </c>
      <c r="E23" s="14">
        <v>82.63</v>
      </c>
      <c r="G23" s="14">
        <v>15.88825989</v>
      </c>
      <c r="I23" s="14">
        <v>13.869999890000001</v>
      </c>
      <c r="K23" s="11">
        <v>54688.417289999998</v>
      </c>
      <c r="M23" s="11">
        <v>9</v>
      </c>
      <c r="O23" s="11">
        <v>16</v>
      </c>
      <c r="Q23" s="1">
        <f t="shared" si="0"/>
        <v>0.90367388216666678</v>
      </c>
      <c r="R23" s="21" t="s">
        <v>257</v>
      </c>
    </row>
    <row r="24" spans="1:18" ht="15.9" customHeight="1" x14ac:dyDescent="0.25">
      <c r="A24" s="11">
        <v>17</v>
      </c>
      <c r="B24" s="12" t="s">
        <v>39</v>
      </c>
      <c r="C24" s="13">
        <v>0.93799999999999994</v>
      </c>
      <c r="E24" s="14">
        <v>83.63</v>
      </c>
      <c r="G24" s="14">
        <v>15.412579539999999</v>
      </c>
      <c r="I24" s="14">
        <v>12.40995938</v>
      </c>
      <c r="J24" s="8" t="s">
        <v>40</v>
      </c>
      <c r="K24" s="11">
        <v>166811.6741</v>
      </c>
      <c r="L24" s="8" t="s">
        <v>41</v>
      </c>
      <c r="M24" s="11">
        <v>-16</v>
      </c>
      <c r="O24" s="11">
        <v>15</v>
      </c>
      <c r="Q24" s="1">
        <f t="shared" si="0"/>
        <v>0.84179252211111111</v>
      </c>
      <c r="R24" s="21" t="s">
        <v>258</v>
      </c>
    </row>
    <row r="25" spans="1:18" ht="15.9" customHeight="1" x14ac:dyDescent="0.25">
      <c r="A25" s="11">
        <v>17</v>
      </c>
      <c r="B25" s="12" t="s">
        <v>42</v>
      </c>
      <c r="C25" s="13">
        <v>0.93799999999999994</v>
      </c>
      <c r="E25" s="14">
        <v>82.087999999999994</v>
      </c>
      <c r="G25" s="14">
        <v>19.30005074</v>
      </c>
      <c r="H25" s="8" t="s">
        <v>19</v>
      </c>
      <c r="I25" s="14">
        <v>12.882998069999999</v>
      </c>
      <c r="J25" s="8" t="s">
        <v>22</v>
      </c>
      <c r="K25" s="11">
        <v>47259.601369999997</v>
      </c>
      <c r="M25" s="11">
        <v>17</v>
      </c>
      <c r="O25" s="11">
        <v>17</v>
      </c>
      <c r="Q25" s="1">
        <f t="shared" si="0"/>
        <v>0.92943326900000001</v>
      </c>
      <c r="R25" s="21" t="s">
        <v>259</v>
      </c>
    </row>
    <row r="26" spans="1:18" ht="15.9" customHeight="1" x14ac:dyDescent="0.25">
      <c r="A26" s="11">
        <v>17</v>
      </c>
      <c r="B26" s="12" t="s">
        <v>43</v>
      </c>
      <c r="C26" s="13">
        <v>0.93799999999999994</v>
      </c>
      <c r="E26" s="14">
        <v>79.304000000000002</v>
      </c>
      <c r="G26" s="14">
        <v>15.92300034</v>
      </c>
      <c r="I26" s="14">
        <v>13.90999985</v>
      </c>
      <c r="K26" s="11">
        <v>73650.030769999998</v>
      </c>
      <c r="M26" s="11">
        <v>-7</v>
      </c>
      <c r="O26" s="11">
        <v>18</v>
      </c>
      <c r="Q26" s="1">
        <f t="shared" si="0"/>
        <v>0.90597222666666666</v>
      </c>
      <c r="R26" s="21" t="s">
        <v>260</v>
      </c>
    </row>
    <row r="27" spans="1:18" ht="15.9" customHeight="1" x14ac:dyDescent="0.25">
      <c r="A27" s="11">
        <v>20</v>
      </c>
      <c r="B27" s="12" t="s">
        <v>44</v>
      </c>
      <c r="C27" s="13">
        <v>0.93700000000000006</v>
      </c>
      <c r="E27" s="14">
        <v>84.328999999999994</v>
      </c>
      <c r="G27" s="14">
        <v>16.618640899999999</v>
      </c>
      <c r="I27" s="14">
        <v>12.722198690000001</v>
      </c>
      <c r="J27" s="8" t="s">
        <v>22</v>
      </c>
      <c r="K27" s="11">
        <v>49726.453269999998</v>
      </c>
      <c r="M27" s="11">
        <v>11</v>
      </c>
      <c r="O27" s="11">
        <v>19</v>
      </c>
      <c r="Q27" s="1">
        <f t="shared" si="0"/>
        <v>0.88570220355555551</v>
      </c>
      <c r="R27" s="21" t="s">
        <v>261</v>
      </c>
    </row>
    <row r="28" spans="1:18" ht="15.9" customHeight="1" x14ac:dyDescent="0.25">
      <c r="A28" s="11">
        <v>21</v>
      </c>
      <c r="B28" s="12" t="s">
        <v>45</v>
      </c>
      <c r="C28" s="13">
        <v>0.93100000000000005</v>
      </c>
      <c r="E28" s="14">
        <v>81.602999999999994</v>
      </c>
      <c r="G28" s="14">
        <v>17.477170940000001</v>
      </c>
      <c r="I28" s="14">
        <v>12.951201920000001</v>
      </c>
      <c r="J28" s="8" t="s">
        <v>22</v>
      </c>
      <c r="K28" s="11">
        <v>46360.807789999999</v>
      </c>
      <c r="M28" s="11">
        <v>15</v>
      </c>
      <c r="O28" s="11">
        <v>21</v>
      </c>
      <c r="Q28" s="1">
        <f t="shared" si="0"/>
        <v>0.91718370122222226</v>
      </c>
      <c r="R28" s="21" t="s">
        <v>262</v>
      </c>
    </row>
    <row r="29" spans="1:18" ht="15.9" customHeight="1" x14ac:dyDescent="0.25">
      <c r="A29" s="11">
        <v>22</v>
      </c>
      <c r="B29" s="12" t="s">
        <v>46</v>
      </c>
      <c r="C29" s="13">
        <v>0.93</v>
      </c>
      <c r="E29" s="14">
        <v>81.956000000000003</v>
      </c>
      <c r="G29" s="14">
        <v>16.28428078</v>
      </c>
      <c r="I29" s="14">
        <v>12.36146506</v>
      </c>
      <c r="J29" s="8" t="s">
        <v>22</v>
      </c>
      <c r="K29" s="11">
        <v>63479.208429999999</v>
      </c>
      <c r="M29" s="11">
        <v>-2</v>
      </c>
      <c r="O29" s="11">
        <v>20</v>
      </c>
      <c r="Q29" s="1">
        <f t="shared" si="0"/>
        <v>0.86438996811111113</v>
      </c>
      <c r="R29" s="21" t="s">
        <v>263</v>
      </c>
    </row>
    <row r="30" spans="1:18" ht="15.9" customHeight="1" x14ac:dyDescent="0.25">
      <c r="A30" s="11">
        <v>23</v>
      </c>
      <c r="B30" s="12" t="s">
        <v>47</v>
      </c>
      <c r="C30" s="13">
        <v>0.92500000000000004</v>
      </c>
      <c r="E30" s="14">
        <v>84.712000000000003</v>
      </c>
      <c r="G30" s="14">
        <v>15.511980060000001</v>
      </c>
      <c r="I30" s="14">
        <v>12.684046710000001</v>
      </c>
      <c r="J30" s="8" t="s">
        <v>22</v>
      </c>
      <c r="K30" s="11">
        <v>47774.609729999996</v>
      </c>
      <c r="M30" s="11">
        <v>10</v>
      </c>
      <c r="O30" s="11">
        <v>23</v>
      </c>
      <c r="Q30" s="1">
        <f t="shared" si="0"/>
        <v>0.85368989200000001</v>
      </c>
      <c r="R30" s="21" t="s">
        <v>264</v>
      </c>
    </row>
    <row r="31" spans="1:18" ht="15.9" customHeight="1" x14ac:dyDescent="0.25">
      <c r="A31" s="11">
        <v>24</v>
      </c>
      <c r="B31" s="12" t="s">
        <v>48</v>
      </c>
      <c r="C31" s="13">
        <v>0.92400000000000004</v>
      </c>
      <c r="E31" s="14">
        <v>83.299000000000007</v>
      </c>
      <c r="G31" s="14">
        <v>15.90985012</v>
      </c>
      <c r="I31" s="14">
        <v>12.4207021</v>
      </c>
      <c r="J31" s="8" t="s">
        <v>22</v>
      </c>
      <c r="K31" s="11">
        <v>52155.074869999997</v>
      </c>
      <c r="M31" s="11">
        <v>5</v>
      </c>
      <c r="O31" s="11">
        <v>26</v>
      </c>
      <c r="Q31" s="1">
        <f t="shared" si="0"/>
        <v>0.85596368444444448</v>
      </c>
      <c r="R31" s="21" t="s">
        <v>265</v>
      </c>
    </row>
    <row r="32" spans="1:18" ht="15.9" customHeight="1" x14ac:dyDescent="0.25">
      <c r="A32" s="11">
        <v>25</v>
      </c>
      <c r="B32" s="12" t="s">
        <v>49</v>
      </c>
      <c r="C32" s="13">
        <v>0.92200000000000004</v>
      </c>
      <c r="E32" s="14">
        <v>82.228999999999999</v>
      </c>
      <c r="G32" s="14">
        <v>14.35795021</v>
      </c>
      <c r="I32" s="14">
        <v>12.58937195</v>
      </c>
      <c r="J32" s="8" t="s">
        <v>20</v>
      </c>
      <c r="K32" s="11">
        <v>85461.248330000002</v>
      </c>
      <c r="L32" s="8" t="s">
        <v>23</v>
      </c>
      <c r="M32" s="11">
        <v>-19</v>
      </c>
      <c r="O32" s="11">
        <v>22</v>
      </c>
      <c r="Q32" s="1">
        <f t="shared" si="0"/>
        <v>0.81847768194444448</v>
      </c>
      <c r="R32" s="21" t="s">
        <v>266</v>
      </c>
    </row>
    <row r="33" spans="1:18" ht="15.9" customHeight="1" x14ac:dyDescent="0.25">
      <c r="A33" s="11">
        <v>26</v>
      </c>
      <c r="B33" s="12" t="s">
        <v>50</v>
      </c>
      <c r="C33" s="13">
        <v>0.92</v>
      </c>
      <c r="E33" s="14">
        <v>83.325000000000003</v>
      </c>
      <c r="G33" s="14">
        <v>16.095119480000001</v>
      </c>
      <c r="I33" s="14">
        <v>11.7656677</v>
      </c>
      <c r="J33" s="8" t="s">
        <v>22</v>
      </c>
      <c r="K33" s="11">
        <v>55060.160380000001</v>
      </c>
      <c r="M33" s="11">
        <v>-2</v>
      </c>
      <c r="O33" s="11">
        <v>27</v>
      </c>
      <c r="Q33" s="1">
        <f t="shared" si="0"/>
        <v>0.83927557555555565</v>
      </c>
      <c r="R33" s="21" t="s">
        <v>267</v>
      </c>
    </row>
    <row r="34" spans="1:18" ht="15.9" customHeight="1" x14ac:dyDescent="0.25">
      <c r="A34" s="11">
        <v>27</v>
      </c>
      <c r="B34" s="12" t="s">
        <v>51</v>
      </c>
      <c r="C34" s="13">
        <v>0.91900000000000004</v>
      </c>
      <c r="E34" s="14">
        <v>82.408000000000001</v>
      </c>
      <c r="G34" s="14">
        <v>14.93416023</v>
      </c>
      <c r="I34" s="14">
        <v>13.534594739999999</v>
      </c>
      <c r="J34" s="8" t="s">
        <v>22</v>
      </c>
      <c r="K34" s="11">
        <v>48050.11176</v>
      </c>
      <c r="M34" s="11">
        <v>5</v>
      </c>
      <c r="O34" s="11">
        <v>23</v>
      </c>
      <c r="Q34" s="1">
        <f t="shared" si="0"/>
        <v>0.86599094216666672</v>
      </c>
      <c r="R34" s="21" t="s">
        <v>268</v>
      </c>
    </row>
    <row r="35" spans="1:18" ht="15.9" customHeight="1" x14ac:dyDescent="0.25">
      <c r="A35" s="11">
        <v>28</v>
      </c>
      <c r="B35" s="12" t="s">
        <v>52</v>
      </c>
      <c r="C35" s="13">
        <v>0.91800000000000004</v>
      </c>
      <c r="E35" s="14">
        <v>83.67</v>
      </c>
      <c r="G35" s="14">
        <v>17.830310820000001</v>
      </c>
      <c r="I35" s="14">
        <v>10.75612495</v>
      </c>
      <c r="J35" s="8" t="s">
        <v>22</v>
      </c>
      <c r="K35" s="11">
        <v>46008.442210000001</v>
      </c>
      <c r="M35" s="11">
        <v>9</v>
      </c>
      <c r="O35" s="11">
        <v>28</v>
      </c>
      <c r="Q35" s="1">
        <f t="shared" si="0"/>
        <v>0.85382391000000002</v>
      </c>
      <c r="R35" s="21" t="s">
        <v>269</v>
      </c>
    </row>
    <row r="36" spans="1:18" ht="15.9" customHeight="1" x14ac:dyDescent="0.25">
      <c r="A36" s="11">
        <v>29</v>
      </c>
      <c r="B36" s="12" t="s">
        <v>53</v>
      </c>
      <c r="C36" s="13">
        <v>0.91500000000000004</v>
      </c>
      <c r="E36" s="14">
        <v>79.834000000000003</v>
      </c>
      <c r="G36" s="14">
        <v>16.793500900000002</v>
      </c>
      <c r="I36" s="14">
        <v>12.963182140000001</v>
      </c>
      <c r="J36" s="8" t="s">
        <v>22</v>
      </c>
      <c r="K36" s="11">
        <v>45889.014009999999</v>
      </c>
      <c r="M36" s="11">
        <v>9</v>
      </c>
      <c r="O36" s="11">
        <v>28</v>
      </c>
      <c r="Q36" s="1">
        <f t="shared" si="0"/>
        <v>0.89859220744444457</v>
      </c>
      <c r="R36" s="21" t="s">
        <v>270</v>
      </c>
    </row>
    <row r="37" spans="1:18" ht="15.9" customHeight="1" x14ac:dyDescent="0.25">
      <c r="A37" s="11">
        <v>29</v>
      </c>
      <c r="B37" s="12" t="s">
        <v>54</v>
      </c>
      <c r="C37" s="13">
        <v>0.91500000000000004</v>
      </c>
      <c r="E37" s="14">
        <v>83.715999999999994</v>
      </c>
      <c r="G37" s="14">
        <v>16.714199069999999</v>
      </c>
      <c r="I37" s="14">
        <v>10.828128270000001</v>
      </c>
      <c r="J37" s="8" t="s">
        <v>22</v>
      </c>
      <c r="K37" s="11">
        <v>52388.88306</v>
      </c>
      <c r="M37" s="11">
        <v>-1</v>
      </c>
      <c r="O37" s="11">
        <v>32</v>
      </c>
      <c r="Q37" s="1">
        <f t="shared" si="0"/>
        <v>0.82522091649999996</v>
      </c>
      <c r="R37" s="21" t="s">
        <v>271</v>
      </c>
    </row>
    <row r="38" spans="1:18" ht="15.9" customHeight="1" x14ac:dyDescent="0.25">
      <c r="A38" s="11">
        <v>29</v>
      </c>
      <c r="B38" s="12" t="s">
        <v>55</v>
      </c>
      <c r="C38" s="13">
        <v>0.91500000000000004</v>
      </c>
      <c r="E38" s="14">
        <v>85.706000000000003</v>
      </c>
      <c r="F38" s="8" t="s">
        <v>30</v>
      </c>
      <c r="G38" s="14">
        <v>14.59976717</v>
      </c>
      <c r="H38" s="8" t="s">
        <v>22</v>
      </c>
      <c r="I38" s="14">
        <v>11.35999966</v>
      </c>
      <c r="K38" s="11">
        <v>64706.37558</v>
      </c>
      <c r="M38" s="11">
        <v>-13</v>
      </c>
      <c r="O38" s="11">
        <v>30</v>
      </c>
      <c r="Q38" s="1">
        <f t="shared" si="0"/>
        <v>0.78421574338888889</v>
      </c>
      <c r="R38" s="21" t="s">
        <v>272</v>
      </c>
    </row>
    <row r="39" spans="1:18" ht="15.9" customHeight="1" x14ac:dyDescent="0.25">
      <c r="A39" s="11">
        <v>32</v>
      </c>
      <c r="B39" s="12" t="s">
        <v>56</v>
      </c>
      <c r="C39" s="13">
        <v>0.91300000000000003</v>
      </c>
      <c r="E39" s="14">
        <v>84.040999999999997</v>
      </c>
      <c r="G39" s="14">
        <v>14.54279041</v>
      </c>
      <c r="I39" s="14">
        <v>11.60999966</v>
      </c>
      <c r="K39" s="11">
        <v>64631.0749</v>
      </c>
      <c r="M39" s="11">
        <v>-15</v>
      </c>
      <c r="O39" s="11">
        <v>37</v>
      </c>
      <c r="Q39" s="1">
        <f t="shared" si="0"/>
        <v>0.79096638894444449</v>
      </c>
      <c r="R39" s="21" t="s">
        <v>273</v>
      </c>
    </row>
    <row r="40" spans="1:18" ht="15.9" customHeight="1" x14ac:dyDescent="0.25">
      <c r="A40" s="11">
        <v>32</v>
      </c>
      <c r="B40" s="12" t="s">
        <v>57</v>
      </c>
      <c r="C40" s="13">
        <v>0.91300000000000003</v>
      </c>
      <c r="E40" s="14">
        <v>81.647999999999996</v>
      </c>
      <c r="G40" s="14">
        <v>16.215599059999999</v>
      </c>
      <c r="I40" s="14">
        <v>12.5573721</v>
      </c>
      <c r="J40" s="8" t="s">
        <v>22</v>
      </c>
      <c r="K40" s="11">
        <v>45394.15625</v>
      </c>
      <c r="M40" s="11">
        <v>7</v>
      </c>
      <c r="O40" s="11">
        <v>31</v>
      </c>
      <c r="Q40" s="1">
        <f t="shared" si="0"/>
        <v>0.86901237722222224</v>
      </c>
      <c r="R40" s="21" t="s">
        <v>274</v>
      </c>
    </row>
    <row r="41" spans="1:18" ht="15.9" customHeight="1" x14ac:dyDescent="0.25">
      <c r="A41" s="11">
        <v>34</v>
      </c>
      <c r="B41" s="12" t="s">
        <v>58</v>
      </c>
      <c r="C41" s="13">
        <v>0.90800000000000003</v>
      </c>
      <c r="E41" s="14">
        <v>81.856999999999999</v>
      </c>
      <c r="G41" s="14">
        <v>20.845500950000002</v>
      </c>
      <c r="H41" s="8" t="s">
        <v>19</v>
      </c>
      <c r="I41" s="14">
        <v>11.553856420000001</v>
      </c>
      <c r="J41" s="8" t="s">
        <v>22</v>
      </c>
      <c r="K41" s="11">
        <v>35760.749150000003</v>
      </c>
      <c r="M41" s="11">
        <v>17</v>
      </c>
      <c r="O41" s="11">
        <v>36</v>
      </c>
      <c r="Q41" s="1">
        <f t="shared" si="0"/>
        <v>0.88512854733333335</v>
      </c>
      <c r="R41" s="21" t="s">
        <v>275</v>
      </c>
    </row>
    <row r="42" spans="1:18" ht="15.9" customHeight="1" x14ac:dyDescent="0.25">
      <c r="A42" s="11">
        <v>35</v>
      </c>
      <c r="B42" s="12" t="s">
        <v>59</v>
      </c>
      <c r="C42" s="13">
        <v>0.90600000000000003</v>
      </c>
      <c r="E42" s="14">
        <v>78.632999999999996</v>
      </c>
      <c r="G42" s="14">
        <v>16.678279880000002</v>
      </c>
      <c r="I42" s="14">
        <v>13.208542420000001</v>
      </c>
      <c r="J42" s="8" t="s">
        <v>22</v>
      </c>
      <c r="K42" s="11">
        <v>42217.637779999997</v>
      </c>
      <c r="M42" s="11">
        <v>5</v>
      </c>
      <c r="O42" s="11">
        <v>33</v>
      </c>
      <c r="Q42" s="1">
        <f t="shared" si="0"/>
        <v>0.90357029955555568</v>
      </c>
      <c r="R42" s="21" t="s">
        <v>276</v>
      </c>
    </row>
    <row r="43" spans="1:18" ht="15.9" customHeight="1" x14ac:dyDescent="0.25">
      <c r="A43" s="11">
        <v>36</v>
      </c>
      <c r="B43" s="12" t="s">
        <v>60</v>
      </c>
      <c r="C43" s="13">
        <v>0.90500000000000003</v>
      </c>
      <c r="E43" s="14">
        <v>79.153000000000006</v>
      </c>
      <c r="G43" s="14">
        <v>15.96786022</v>
      </c>
      <c r="I43" s="14">
        <v>13.562165970000001</v>
      </c>
      <c r="J43" s="8" t="s">
        <v>22</v>
      </c>
      <c r="K43" s="11">
        <v>40880.930439999996</v>
      </c>
      <c r="M43" s="11">
        <v>8</v>
      </c>
      <c r="O43" s="11">
        <v>33</v>
      </c>
      <c r="Q43" s="1">
        <f t="shared" si="0"/>
        <v>0.8956238717777778</v>
      </c>
      <c r="R43" s="21" t="s">
        <v>277</v>
      </c>
    </row>
    <row r="44" spans="1:18" ht="15.9" customHeight="1" x14ac:dyDescent="0.25">
      <c r="A44" s="11">
        <v>37</v>
      </c>
      <c r="B44" s="12" t="s">
        <v>61</v>
      </c>
      <c r="C44" s="13">
        <v>0.9</v>
      </c>
      <c r="E44" s="14">
        <v>78.731999999999999</v>
      </c>
      <c r="G44" s="14">
        <v>16.949430469999999</v>
      </c>
      <c r="I44" s="14">
        <v>11.606427780000001</v>
      </c>
      <c r="J44" s="8" t="s">
        <v>22</v>
      </c>
      <c r="K44" s="11">
        <v>50298.913630000003</v>
      </c>
      <c r="M44" s="11">
        <v>-7</v>
      </c>
      <c r="O44" s="11">
        <v>37</v>
      </c>
      <c r="Q44" s="1">
        <f t="shared" si="0"/>
        <v>0.85769843905555554</v>
      </c>
      <c r="R44" s="21" t="s">
        <v>278</v>
      </c>
    </row>
    <row r="45" spans="1:18" ht="15.9" customHeight="1" x14ac:dyDescent="0.25">
      <c r="A45" s="11">
        <v>38</v>
      </c>
      <c r="B45" s="12" t="s">
        <v>62</v>
      </c>
      <c r="C45" s="13">
        <v>0.89900000000000002</v>
      </c>
      <c r="E45" s="14">
        <v>81.284000000000006</v>
      </c>
      <c r="G45" s="14">
        <v>15.92718983</v>
      </c>
      <c r="I45" s="14">
        <v>11.130000109999999</v>
      </c>
      <c r="K45" s="11">
        <v>52818.795380000003</v>
      </c>
      <c r="M45" s="11">
        <v>-11</v>
      </c>
      <c r="O45" s="11">
        <v>33</v>
      </c>
      <c r="Q45" s="1">
        <f t="shared" si="0"/>
        <v>0.81342194338888885</v>
      </c>
      <c r="R45" s="21" t="s">
        <v>279</v>
      </c>
    </row>
    <row r="46" spans="1:18" ht="15.9" customHeight="1" x14ac:dyDescent="0.25">
      <c r="A46" s="11">
        <v>39</v>
      </c>
      <c r="B46" s="12" t="s">
        <v>63</v>
      </c>
      <c r="C46" s="13">
        <v>0.89500000000000002</v>
      </c>
      <c r="E46" s="14">
        <v>76.025000000000006</v>
      </c>
      <c r="G46" s="14">
        <v>16.45467949</v>
      </c>
      <c r="I46" s="14">
        <v>13.610692390000001</v>
      </c>
      <c r="J46" s="8" t="s">
        <v>22</v>
      </c>
      <c r="K46" s="11">
        <v>41916.465790000002</v>
      </c>
      <c r="M46" s="11">
        <v>2</v>
      </c>
      <c r="O46" s="11">
        <v>39</v>
      </c>
      <c r="Q46" s="1">
        <f t="shared" si="0"/>
        <v>0.9107641766111112</v>
      </c>
      <c r="R46" s="21" t="s">
        <v>280</v>
      </c>
    </row>
    <row r="47" spans="1:18" ht="15.9" customHeight="1" x14ac:dyDescent="0.25">
      <c r="A47" s="11">
        <v>40</v>
      </c>
      <c r="B47" s="12" t="s">
        <v>64</v>
      </c>
      <c r="C47" s="13">
        <v>0.89</v>
      </c>
      <c r="E47" s="14">
        <v>82.36</v>
      </c>
      <c r="G47" s="14">
        <v>17.486820219999998</v>
      </c>
      <c r="I47" s="14">
        <v>9.7032544119999997</v>
      </c>
      <c r="J47" s="8" t="s">
        <v>22</v>
      </c>
      <c r="K47" s="11">
        <v>41063.92568</v>
      </c>
      <c r="M47" s="11">
        <v>3</v>
      </c>
      <c r="O47" s="11">
        <v>41</v>
      </c>
      <c r="Q47" s="1">
        <f t="shared" si="0"/>
        <v>0.80918681984444429</v>
      </c>
      <c r="R47" s="21" t="s">
        <v>281</v>
      </c>
    </row>
    <row r="48" spans="1:18" ht="15.9" customHeight="1" x14ac:dyDescent="0.25">
      <c r="A48" s="11">
        <v>41</v>
      </c>
      <c r="B48" s="12" t="s">
        <v>65</v>
      </c>
      <c r="C48" s="13">
        <v>0.88900000000000001</v>
      </c>
      <c r="E48" s="14">
        <v>78.58</v>
      </c>
      <c r="G48" s="14">
        <v>16.34815025</v>
      </c>
      <c r="I48" s="14">
        <v>12.0951217</v>
      </c>
      <c r="J48" s="8" t="s">
        <v>66</v>
      </c>
      <c r="K48" s="11">
        <v>41379.890270000004</v>
      </c>
      <c r="M48" s="11">
        <v>1</v>
      </c>
      <c r="O48" s="11">
        <v>40</v>
      </c>
      <c r="Q48" s="1">
        <f t="shared" si="0"/>
        <v>0.85728600805555555</v>
      </c>
      <c r="R48" s="21" t="s">
        <v>282</v>
      </c>
    </row>
    <row r="49" spans="1:18" ht="15.9" customHeight="1" x14ac:dyDescent="0.25">
      <c r="A49" s="11">
        <v>41</v>
      </c>
      <c r="B49" s="12" t="s">
        <v>67</v>
      </c>
      <c r="C49" s="13">
        <v>0.88900000000000001</v>
      </c>
      <c r="E49" s="14">
        <v>76.19</v>
      </c>
      <c r="G49" s="14">
        <v>16.482650759999999</v>
      </c>
      <c r="I49" s="14">
        <v>13.40943983</v>
      </c>
      <c r="J49" s="8" t="s">
        <v>22</v>
      </c>
      <c r="K49" s="11">
        <v>37997.822330000003</v>
      </c>
      <c r="M49" s="11">
        <v>6</v>
      </c>
      <c r="O49" s="11">
        <v>43</v>
      </c>
      <c r="Q49" s="1">
        <f t="shared" si="0"/>
        <v>0.90483273766666661</v>
      </c>
      <c r="R49" s="21" t="s">
        <v>283</v>
      </c>
    </row>
    <row r="50" spans="1:18" ht="15.9" customHeight="1" x14ac:dyDescent="0.25">
      <c r="A50" s="11">
        <v>43</v>
      </c>
      <c r="B50" s="12" t="s">
        <v>68</v>
      </c>
      <c r="C50" s="13">
        <v>0.88600000000000001</v>
      </c>
      <c r="E50" s="14">
        <v>82.367999999999995</v>
      </c>
      <c r="G50" s="14">
        <v>13.14116001</v>
      </c>
      <c r="I50" s="14">
        <v>10.77000046</v>
      </c>
      <c r="K50" s="11">
        <v>105353.268</v>
      </c>
      <c r="L50" s="8" t="s">
        <v>23</v>
      </c>
      <c r="M50" s="11">
        <v>-39</v>
      </c>
      <c r="O50" s="11">
        <v>41</v>
      </c>
      <c r="Q50" s="1">
        <f t="shared" si="0"/>
        <v>0.72403223783333337</v>
      </c>
      <c r="R50" s="21" t="s">
        <v>284</v>
      </c>
    </row>
    <row r="51" spans="1:18" ht="15.9" customHeight="1" x14ac:dyDescent="0.25">
      <c r="A51" s="11">
        <v>44</v>
      </c>
      <c r="B51" s="12" t="s">
        <v>69</v>
      </c>
      <c r="C51" s="13">
        <v>0.88</v>
      </c>
      <c r="E51" s="14">
        <v>78.340999999999994</v>
      </c>
      <c r="G51" s="14">
        <v>14.946849820000001</v>
      </c>
      <c r="I51" s="14">
        <v>13.103203969999999</v>
      </c>
      <c r="J51" s="8" t="s">
        <v>22</v>
      </c>
      <c r="K51" s="11">
        <v>36792.988740000001</v>
      </c>
      <c r="M51" s="11">
        <v>5</v>
      </c>
      <c r="O51" s="11">
        <v>44</v>
      </c>
      <c r="Q51" s="1">
        <f t="shared" si="0"/>
        <v>0.85196373844444451</v>
      </c>
      <c r="R51" s="21" t="s">
        <v>285</v>
      </c>
    </row>
    <row r="52" spans="1:18" ht="15.9" customHeight="1" x14ac:dyDescent="0.25">
      <c r="A52" s="11">
        <v>45</v>
      </c>
      <c r="B52" s="12" t="s">
        <v>70</v>
      </c>
      <c r="C52" s="13">
        <v>0.878</v>
      </c>
      <c r="E52" s="14">
        <v>81.167000000000002</v>
      </c>
      <c r="G52" s="14">
        <v>16.912420269999998</v>
      </c>
      <c r="I52" s="14">
        <v>11.291053939999999</v>
      </c>
      <c r="J52" s="8" t="s">
        <v>22</v>
      </c>
      <c r="K52" s="11">
        <v>28047.1698</v>
      </c>
      <c r="M52" s="11">
        <v>16</v>
      </c>
      <c r="O52" s="11">
        <v>45</v>
      </c>
      <c r="Q52" s="1">
        <f t="shared" si="0"/>
        <v>0.84615791661111106</v>
      </c>
      <c r="R52" s="21" t="s">
        <v>286</v>
      </c>
    </row>
    <row r="53" spans="1:18" ht="15.9" customHeight="1" x14ac:dyDescent="0.25">
      <c r="A53" s="11">
        <v>46</v>
      </c>
      <c r="B53" s="12" t="s">
        <v>71</v>
      </c>
      <c r="C53" s="13">
        <v>0.87</v>
      </c>
      <c r="E53" s="14">
        <v>77.024000000000001</v>
      </c>
      <c r="G53" s="14">
        <v>15.46940041</v>
      </c>
      <c r="I53" s="14">
        <v>12.33162229</v>
      </c>
      <c r="J53" s="8" t="s">
        <v>22</v>
      </c>
      <c r="K53" s="11">
        <v>37236.074619999999</v>
      </c>
      <c r="M53" s="11">
        <v>2</v>
      </c>
      <c r="O53" s="11">
        <v>46</v>
      </c>
      <c r="Q53" s="1">
        <f t="shared" si="0"/>
        <v>0.84075964327777775</v>
      </c>
      <c r="R53" s="21" t="s">
        <v>287</v>
      </c>
    </row>
    <row r="54" spans="1:18" ht="15.9" customHeight="1" x14ac:dyDescent="0.25">
      <c r="A54" s="11">
        <v>47</v>
      </c>
      <c r="B54" s="12" t="s">
        <v>72</v>
      </c>
      <c r="C54" s="13">
        <v>0.86499999999999999</v>
      </c>
      <c r="E54" s="14">
        <v>77.394999999999996</v>
      </c>
      <c r="G54" s="14">
        <v>18.831209179999998</v>
      </c>
      <c r="H54" s="8" t="s">
        <v>19</v>
      </c>
      <c r="I54" s="14">
        <v>11.18458184</v>
      </c>
      <c r="J54" s="8" t="s">
        <v>22</v>
      </c>
      <c r="K54" s="11">
        <v>25876.053070000002</v>
      </c>
      <c r="M54" s="11">
        <v>20</v>
      </c>
      <c r="O54" s="11">
        <v>47</v>
      </c>
      <c r="Q54" s="1">
        <f t="shared" si="0"/>
        <v>0.87281939466666669</v>
      </c>
      <c r="R54" s="21" t="s">
        <v>288</v>
      </c>
    </row>
    <row r="55" spans="1:18" ht="15.9" customHeight="1" x14ac:dyDescent="0.25">
      <c r="A55" s="11">
        <v>48</v>
      </c>
      <c r="B55" s="12" t="s">
        <v>73</v>
      </c>
      <c r="C55" s="13">
        <v>0.86199999999999999</v>
      </c>
      <c r="E55" s="14">
        <v>77.087000000000003</v>
      </c>
      <c r="G55" s="14">
        <v>15.53652954</v>
      </c>
      <c r="I55" s="14">
        <v>12.773925719999999</v>
      </c>
      <c r="J55" s="8" t="s">
        <v>22</v>
      </c>
      <c r="K55" s="11">
        <v>28026.330399999999</v>
      </c>
      <c r="M55" s="11">
        <v>14</v>
      </c>
      <c r="O55" s="11">
        <v>48</v>
      </c>
      <c r="Q55" s="1">
        <f t="shared" si="0"/>
        <v>0.85736778899999999</v>
      </c>
      <c r="R55" s="21" t="s">
        <v>289</v>
      </c>
    </row>
    <row r="56" spans="1:18" ht="15.9" customHeight="1" x14ac:dyDescent="0.25">
      <c r="A56" s="11">
        <v>48</v>
      </c>
      <c r="B56" s="12" t="s">
        <v>74</v>
      </c>
      <c r="C56" s="13">
        <v>0.86199999999999999</v>
      </c>
      <c r="E56" s="14">
        <v>78.138000000000005</v>
      </c>
      <c r="G56" s="14">
        <v>17.483959200000001</v>
      </c>
      <c r="I56" s="14">
        <v>10.539999959999999</v>
      </c>
      <c r="K56" s="11">
        <v>28649.82199</v>
      </c>
      <c r="M56" s="11">
        <v>12</v>
      </c>
      <c r="O56" s="11">
        <v>50</v>
      </c>
      <c r="Q56" s="1">
        <f t="shared" si="0"/>
        <v>0.83699886533333334</v>
      </c>
      <c r="R56" s="21" t="s">
        <v>290</v>
      </c>
    </row>
    <row r="57" spans="1:18" ht="15.9" customHeight="1" x14ac:dyDescent="0.25">
      <c r="A57" s="11">
        <v>50</v>
      </c>
      <c r="B57" s="12" t="s">
        <v>75</v>
      </c>
      <c r="C57" s="13">
        <v>0.85799999999999998</v>
      </c>
      <c r="E57" s="14">
        <v>80.031000000000006</v>
      </c>
      <c r="G57" s="14">
        <v>13.43931961</v>
      </c>
      <c r="I57" s="14">
        <v>11.89000034</v>
      </c>
      <c r="K57" s="11">
        <v>36096.041230000003</v>
      </c>
      <c r="M57" s="11">
        <v>0</v>
      </c>
      <c r="O57" s="11">
        <v>52</v>
      </c>
      <c r="Q57" s="1">
        <f t="shared" si="0"/>
        <v>0.76964777827777775</v>
      </c>
      <c r="R57" s="21" t="s">
        <v>291</v>
      </c>
    </row>
    <row r="58" spans="1:18" ht="15.9" customHeight="1" x14ac:dyDescent="0.25">
      <c r="A58" s="11">
        <v>51</v>
      </c>
      <c r="B58" s="12" t="s">
        <v>76</v>
      </c>
      <c r="C58" s="13">
        <v>0.85299999999999998</v>
      </c>
      <c r="E58" s="14">
        <v>77.156000000000006</v>
      </c>
      <c r="G58" s="14">
        <v>19.8307991</v>
      </c>
      <c r="H58" s="8" t="s">
        <v>19</v>
      </c>
      <c r="I58" s="14">
        <v>8.9862436599999995</v>
      </c>
      <c r="J58" s="8" t="s">
        <v>22</v>
      </c>
      <c r="K58" s="11">
        <v>34506.980649999998</v>
      </c>
      <c r="M58" s="11">
        <v>1</v>
      </c>
      <c r="O58" s="11">
        <v>48</v>
      </c>
      <c r="Q58" s="1">
        <f t="shared" si="0"/>
        <v>0.79954145533333332</v>
      </c>
      <c r="R58" s="21" t="s">
        <v>292</v>
      </c>
    </row>
    <row r="59" spans="1:18" ht="15.9" customHeight="1" x14ac:dyDescent="0.25">
      <c r="A59" s="11">
        <v>52</v>
      </c>
      <c r="B59" s="12" t="s">
        <v>77</v>
      </c>
      <c r="C59" s="13">
        <v>0.85199999999999998</v>
      </c>
      <c r="E59" s="14">
        <v>80.405000000000001</v>
      </c>
      <c r="G59" s="14">
        <v>15.904240290000001</v>
      </c>
      <c r="H59" s="8" t="s">
        <v>22</v>
      </c>
      <c r="I59" s="14">
        <v>7.5660071120000003</v>
      </c>
      <c r="J59" s="8" t="s">
        <v>22</v>
      </c>
      <c r="K59" s="11">
        <v>56612.046990000003</v>
      </c>
      <c r="M59" s="11">
        <v>-29</v>
      </c>
      <c r="O59" s="11">
        <v>53</v>
      </c>
      <c r="Q59" s="1">
        <f t="shared" si="0"/>
        <v>0.6939846895666667</v>
      </c>
      <c r="R59" s="21" t="s">
        <v>293</v>
      </c>
    </row>
    <row r="60" spans="1:18" ht="15.9" customHeight="1" x14ac:dyDescent="0.25">
      <c r="A60" s="11">
        <v>53</v>
      </c>
      <c r="B60" s="12" t="s">
        <v>78</v>
      </c>
      <c r="C60" s="13">
        <v>0.85099999999999998</v>
      </c>
      <c r="E60" s="14">
        <v>77.597999999999999</v>
      </c>
      <c r="G60" s="14">
        <v>15.50299899</v>
      </c>
      <c r="H60" s="8" t="s">
        <v>22</v>
      </c>
      <c r="I60" s="14">
        <v>11.647500040000001</v>
      </c>
      <c r="K60" s="11">
        <v>27386.517930000002</v>
      </c>
      <c r="M60" s="11">
        <v>10</v>
      </c>
      <c r="O60" s="11">
        <v>51</v>
      </c>
      <c r="Q60" s="1">
        <f t="shared" si="0"/>
        <v>0.81888886216666679</v>
      </c>
      <c r="R60" s="21" t="s">
        <v>294</v>
      </c>
    </row>
    <row r="61" spans="1:18" ht="15.9" customHeight="1" x14ac:dyDescent="0.25">
      <c r="A61" s="11">
        <v>54</v>
      </c>
      <c r="B61" s="12" t="s">
        <v>79</v>
      </c>
      <c r="C61" s="13">
        <v>0.84799999999999998</v>
      </c>
      <c r="E61" s="14">
        <v>72.861999999999995</v>
      </c>
      <c r="G61" s="14">
        <v>18.22489929</v>
      </c>
      <c r="H61" s="8" t="s">
        <v>19</v>
      </c>
      <c r="I61" s="14">
        <v>11.199949999999999</v>
      </c>
      <c r="K61" s="11">
        <v>29195.037919999999</v>
      </c>
      <c r="M61" s="11">
        <v>4</v>
      </c>
      <c r="O61" s="11">
        <v>56</v>
      </c>
      <c r="Q61" s="1">
        <f t="shared" si="0"/>
        <v>0.87333166666666662</v>
      </c>
      <c r="R61" s="21" t="s">
        <v>295</v>
      </c>
    </row>
    <row r="62" spans="1:18" ht="15.9" customHeight="1" x14ac:dyDescent="0.25">
      <c r="A62" s="11">
        <v>55</v>
      </c>
      <c r="B62" s="12" t="s">
        <v>80</v>
      </c>
      <c r="C62" s="13">
        <v>0.84499999999999997</v>
      </c>
      <c r="E62" s="14">
        <v>75.635999999999996</v>
      </c>
      <c r="G62" s="14">
        <v>15.3166399</v>
      </c>
      <c r="I62" s="14">
        <v>11.45453092</v>
      </c>
      <c r="J62" s="8" t="s">
        <v>22</v>
      </c>
      <c r="K62" s="11">
        <v>32174.93003</v>
      </c>
      <c r="M62" s="11">
        <v>0</v>
      </c>
      <c r="O62" s="11">
        <v>57</v>
      </c>
      <c r="Q62" s="1">
        <f t="shared" si="0"/>
        <v>0.80727991677777777</v>
      </c>
      <c r="R62" s="21" t="s">
        <v>296</v>
      </c>
    </row>
    <row r="63" spans="1:18" ht="15.9" customHeight="1" x14ac:dyDescent="0.25">
      <c r="A63" s="11">
        <v>55</v>
      </c>
      <c r="B63" s="12" t="s">
        <v>81</v>
      </c>
      <c r="C63" s="13">
        <v>0.84499999999999997</v>
      </c>
      <c r="E63" s="14">
        <v>75.938000000000002</v>
      </c>
      <c r="G63" s="14">
        <v>14.052880289999999</v>
      </c>
      <c r="I63" s="14">
        <v>11.55000019</v>
      </c>
      <c r="K63" s="11">
        <v>39374.253720000001</v>
      </c>
      <c r="M63" s="11">
        <v>-10</v>
      </c>
      <c r="O63" s="11">
        <v>54</v>
      </c>
      <c r="Q63" s="1">
        <f t="shared" si="0"/>
        <v>0.77535779216666667</v>
      </c>
      <c r="R63" s="21" t="s">
        <v>297</v>
      </c>
    </row>
    <row r="64" spans="1:18" ht="15.9" customHeight="1" x14ac:dyDescent="0.25">
      <c r="A64" s="11">
        <v>57</v>
      </c>
      <c r="B64" s="12" t="s">
        <v>82</v>
      </c>
      <c r="C64" s="13">
        <v>0.84399999999999997</v>
      </c>
      <c r="E64" s="14">
        <v>74.495999999999995</v>
      </c>
      <c r="G64" s="14">
        <v>16.75470924</v>
      </c>
      <c r="I64" s="14">
        <v>12.69999981</v>
      </c>
      <c r="K64" s="11">
        <v>20752.570090000001</v>
      </c>
      <c r="M64" s="11">
        <v>18</v>
      </c>
      <c r="O64" s="11">
        <v>55</v>
      </c>
      <c r="Q64" s="1">
        <f t="shared" si="0"/>
        <v>0.88874191699999994</v>
      </c>
      <c r="R64" s="21" t="s">
        <v>298</v>
      </c>
    </row>
    <row r="65" spans="1:18" ht="15.9" customHeight="1" x14ac:dyDescent="0.25">
      <c r="A65" s="11">
        <v>58</v>
      </c>
      <c r="B65" s="12" t="s">
        <v>83</v>
      </c>
      <c r="C65" s="13">
        <v>0.84</v>
      </c>
      <c r="E65" s="14">
        <v>72.144999999999996</v>
      </c>
      <c r="G65" s="14">
        <v>18.407030110000001</v>
      </c>
      <c r="H65" s="8" t="s">
        <v>84</v>
      </c>
      <c r="I65" s="14">
        <v>10.8494008</v>
      </c>
      <c r="J65" s="8" t="s">
        <v>85</v>
      </c>
      <c r="K65" s="11">
        <v>29105.437430000002</v>
      </c>
      <c r="M65" s="11">
        <v>1</v>
      </c>
      <c r="O65" s="11">
        <v>60</v>
      </c>
      <c r="Q65" s="1">
        <f t="shared" si="0"/>
        <v>0.86164669333333332</v>
      </c>
      <c r="R65" s="21" t="s">
        <v>299</v>
      </c>
    </row>
    <row r="66" spans="1:18" ht="15.9" customHeight="1" x14ac:dyDescent="0.25">
      <c r="A66" s="11">
        <v>59</v>
      </c>
      <c r="B66" s="12" t="s">
        <v>86</v>
      </c>
      <c r="C66" s="13">
        <v>0.83899999999999997</v>
      </c>
      <c r="E66" s="14">
        <v>79.593999999999994</v>
      </c>
      <c r="G66" s="14">
        <v>13.311609799999999</v>
      </c>
      <c r="H66" s="8" t="s">
        <v>22</v>
      </c>
      <c r="I66" s="14">
        <v>10.833750950000001</v>
      </c>
      <c r="J66" s="8" t="s">
        <v>22</v>
      </c>
      <c r="K66" s="11">
        <v>34384.56813</v>
      </c>
      <c r="M66" s="11">
        <v>-6</v>
      </c>
      <c r="O66" s="11">
        <v>57</v>
      </c>
      <c r="Q66" s="1">
        <f t="shared" si="0"/>
        <v>0.73089197055555566</v>
      </c>
      <c r="R66" s="21" t="s">
        <v>300</v>
      </c>
    </row>
    <row r="67" spans="1:18" ht="15.9" customHeight="1" x14ac:dyDescent="0.25">
      <c r="A67" s="11">
        <v>60</v>
      </c>
      <c r="B67" s="12" t="s">
        <v>87</v>
      </c>
      <c r="C67" s="13">
        <v>0.83699999999999997</v>
      </c>
      <c r="E67" s="14">
        <v>75.326999999999998</v>
      </c>
      <c r="G67" s="14">
        <v>13.698619839999999</v>
      </c>
      <c r="H67" s="8" t="s">
        <v>88</v>
      </c>
      <c r="I67" s="14">
        <v>9.282</v>
      </c>
      <c r="K67" s="11">
        <v>75826.873380000005</v>
      </c>
      <c r="L67" s="8" t="s">
        <v>23</v>
      </c>
      <c r="M67" s="11">
        <v>-51</v>
      </c>
      <c r="O67" s="11">
        <v>63</v>
      </c>
      <c r="Q67" s="1">
        <f t="shared" si="0"/>
        <v>0.6899172177777777</v>
      </c>
      <c r="R67" s="21" t="s">
        <v>301</v>
      </c>
    </row>
    <row r="68" spans="1:18" ht="15.9" customHeight="1" x14ac:dyDescent="0.25">
      <c r="A68" s="11">
        <v>60</v>
      </c>
      <c r="B68" s="12" t="s">
        <v>89</v>
      </c>
      <c r="C68" s="13">
        <v>0.83699999999999997</v>
      </c>
      <c r="E68" s="14">
        <v>74.402000000000001</v>
      </c>
      <c r="G68" s="14">
        <v>14.0086174</v>
      </c>
      <c r="I68" s="14">
        <v>12.54717423</v>
      </c>
      <c r="J68" s="8" t="s">
        <v>22</v>
      </c>
      <c r="K68" s="11">
        <v>30988.528439999998</v>
      </c>
      <c r="M68" s="11">
        <v>-4</v>
      </c>
      <c r="O68" s="11">
        <v>59</v>
      </c>
      <c r="Q68" s="1">
        <f t="shared" si="0"/>
        <v>0.80736740211111102</v>
      </c>
      <c r="R68" s="21" t="s">
        <v>302</v>
      </c>
    </row>
    <row r="69" spans="1:18" ht="15.9" customHeight="1" x14ac:dyDescent="0.25">
      <c r="A69" s="11">
        <v>62</v>
      </c>
      <c r="B69" s="12" t="s">
        <v>90</v>
      </c>
      <c r="C69" s="13">
        <v>0.83299999999999996</v>
      </c>
      <c r="E69" s="14">
        <v>80.799000000000007</v>
      </c>
      <c r="G69" s="14">
        <v>16.349636870000001</v>
      </c>
      <c r="H69" s="8" t="s">
        <v>22</v>
      </c>
      <c r="I69" s="14">
        <v>8.8447524990000002</v>
      </c>
      <c r="J69" s="8" t="s">
        <v>22</v>
      </c>
      <c r="K69" s="11">
        <v>23417.21315</v>
      </c>
      <c r="M69" s="11">
        <v>6</v>
      </c>
      <c r="O69" s="11">
        <v>65</v>
      </c>
      <c r="Q69" s="1">
        <f t="shared" si="0"/>
        <v>0.74898166302222224</v>
      </c>
      <c r="R69" s="21" t="s">
        <v>303</v>
      </c>
    </row>
    <row r="70" spans="1:18" ht="15.9" customHeight="1" x14ac:dyDescent="0.25">
      <c r="A70" s="11">
        <v>62</v>
      </c>
      <c r="B70" s="12" t="s">
        <v>91</v>
      </c>
      <c r="C70" s="13">
        <v>0.83299999999999996</v>
      </c>
      <c r="E70" s="14">
        <v>76.769000000000005</v>
      </c>
      <c r="G70" s="14">
        <v>15.04216003</v>
      </c>
      <c r="I70" s="14">
        <v>11.64171812</v>
      </c>
      <c r="J70" s="8" t="s">
        <v>22</v>
      </c>
      <c r="K70" s="11">
        <v>23114.809529999999</v>
      </c>
      <c r="M70" s="11">
        <v>7</v>
      </c>
      <c r="O70" s="11">
        <v>61</v>
      </c>
      <c r="Q70" s="1">
        <f t="shared" si="0"/>
        <v>0.80589504927777778</v>
      </c>
      <c r="R70" s="21" t="s">
        <v>304</v>
      </c>
    </row>
    <row r="71" spans="1:18" ht="15.9" customHeight="1" x14ac:dyDescent="0.25">
      <c r="A71" s="11">
        <v>64</v>
      </c>
      <c r="B71" s="12" t="s">
        <v>92</v>
      </c>
      <c r="C71" s="13">
        <v>0.83199999999999996</v>
      </c>
      <c r="E71" s="14">
        <v>73.153999999999996</v>
      </c>
      <c r="G71" s="14">
        <v>13.18515015</v>
      </c>
      <c r="I71" s="14">
        <v>12.40999985</v>
      </c>
      <c r="K71" s="11">
        <v>39221.683590000001</v>
      </c>
      <c r="M71" s="11">
        <v>-18</v>
      </c>
      <c r="O71" s="11">
        <v>61</v>
      </c>
      <c r="Q71" s="1">
        <f t="shared" si="0"/>
        <v>0.77992083249999999</v>
      </c>
      <c r="R71" s="21" t="s">
        <v>305</v>
      </c>
    </row>
    <row r="72" spans="1:18" ht="15.9" customHeight="1" x14ac:dyDescent="0.25">
      <c r="A72" s="11">
        <v>65</v>
      </c>
      <c r="B72" s="12" t="s">
        <v>93</v>
      </c>
      <c r="C72" s="13">
        <v>0.82399999999999995</v>
      </c>
      <c r="E72" s="14">
        <v>74.433999999999997</v>
      </c>
      <c r="G72" s="14">
        <v>13.718810080000001</v>
      </c>
      <c r="I72" s="14">
        <v>12.335372980000001</v>
      </c>
      <c r="J72" s="8" t="s">
        <v>22</v>
      </c>
      <c r="K72" s="11">
        <v>26724.870999999999</v>
      </c>
      <c r="M72" s="11">
        <v>1</v>
      </c>
      <c r="O72" s="11">
        <v>64</v>
      </c>
      <c r="Q72" s="1">
        <f t="shared" si="0"/>
        <v>0.79225715711111122</v>
      </c>
      <c r="R72" s="21" t="s">
        <v>306</v>
      </c>
    </row>
    <row r="73" spans="1:18" ht="15.9" customHeight="1" x14ac:dyDescent="0.25">
      <c r="A73" s="11">
        <v>66</v>
      </c>
      <c r="B73" s="12" t="s">
        <v>94</v>
      </c>
      <c r="C73" s="13">
        <v>0.82</v>
      </c>
      <c r="E73" s="14">
        <v>74.552000000000007</v>
      </c>
      <c r="G73" s="14">
        <v>11.891379710000001</v>
      </c>
      <c r="H73" s="8" t="s">
        <v>95</v>
      </c>
      <c r="I73" s="14">
        <v>12.814419040000001</v>
      </c>
      <c r="J73" s="8" t="s">
        <v>22</v>
      </c>
      <c r="K73" s="11">
        <v>30974.68074</v>
      </c>
      <c r="M73" s="11">
        <v>-9</v>
      </c>
      <c r="O73" s="11">
        <v>66</v>
      </c>
      <c r="Q73" s="1">
        <f t="shared" ref="Q73:Q134" si="1">0.5*(MIN(G73,18)/18)+0.5*(MIN(I73,15)/15)</f>
        <v>0.75746340438888893</v>
      </c>
      <c r="R73" s="21" t="s">
        <v>307</v>
      </c>
    </row>
    <row r="74" spans="1:18" ht="15.9" customHeight="1" x14ac:dyDescent="0.25">
      <c r="A74" s="11">
        <v>67</v>
      </c>
      <c r="B74" s="12" t="s">
        <v>96</v>
      </c>
      <c r="C74" s="13">
        <v>0.81899999999999995</v>
      </c>
      <c r="E74" s="14">
        <v>76.656999999999996</v>
      </c>
      <c r="G74" s="14">
        <v>12.67639256</v>
      </c>
      <c r="I74" s="14">
        <v>11.09000015</v>
      </c>
      <c r="K74" s="11">
        <v>32553.091079999998</v>
      </c>
      <c r="M74" s="11">
        <v>-13</v>
      </c>
      <c r="O74" s="11">
        <v>68</v>
      </c>
      <c r="Q74" s="1">
        <f t="shared" si="1"/>
        <v>0.72178868722222222</v>
      </c>
      <c r="R74" s="21" t="s">
        <v>308</v>
      </c>
    </row>
    <row r="75" spans="1:18" ht="15.9" customHeight="1" x14ac:dyDescent="0.25">
      <c r="A75" s="11">
        <v>68</v>
      </c>
      <c r="B75" s="12" t="s">
        <v>97</v>
      </c>
      <c r="C75" s="13">
        <v>0.81499999999999995</v>
      </c>
      <c r="E75" s="14">
        <v>77.394999999999996</v>
      </c>
      <c r="G75" s="14">
        <v>14.781439779999999</v>
      </c>
      <c r="I75" s="14">
        <v>10.22999954</v>
      </c>
      <c r="J75" s="8" t="s">
        <v>88</v>
      </c>
      <c r="K75" s="11">
        <v>22128.394609999999</v>
      </c>
      <c r="M75" s="11">
        <v>2</v>
      </c>
      <c r="O75" s="11">
        <v>67</v>
      </c>
      <c r="Q75" s="1">
        <f t="shared" si="1"/>
        <v>0.75159553411111113</v>
      </c>
      <c r="R75" s="21" t="s">
        <v>309</v>
      </c>
    </row>
    <row r="76" spans="1:18" ht="15.9" customHeight="1" x14ac:dyDescent="0.25">
      <c r="A76" s="11">
        <v>69</v>
      </c>
      <c r="B76" s="12" t="s">
        <v>98</v>
      </c>
      <c r="C76" s="13">
        <v>0.81100000000000005</v>
      </c>
      <c r="E76" s="14">
        <v>75.683000000000007</v>
      </c>
      <c r="G76" s="14">
        <v>14.3838501</v>
      </c>
      <c r="I76" s="14">
        <v>11.344978210000001</v>
      </c>
      <c r="J76" s="8" t="s">
        <v>20</v>
      </c>
      <c r="K76" s="11">
        <v>20220.723190000001</v>
      </c>
      <c r="M76" s="11">
        <v>9</v>
      </c>
      <c r="O76" s="11">
        <v>72</v>
      </c>
      <c r="Q76" s="1">
        <f t="shared" si="1"/>
        <v>0.77771733199999993</v>
      </c>
      <c r="R76" s="21" t="s">
        <v>310</v>
      </c>
    </row>
    <row r="77" spans="1:18" ht="15.9" customHeight="1" x14ac:dyDescent="0.25">
      <c r="A77" s="11">
        <v>69</v>
      </c>
      <c r="B77" s="12" t="s">
        <v>99</v>
      </c>
      <c r="C77" s="13">
        <v>0.81100000000000005</v>
      </c>
      <c r="E77" s="14">
        <v>76.177999999999997</v>
      </c>
      <c r="G77" s="14">
        <v>16.6280018</v>
      </c>
      <c r="H77" s="8" t="s">
        <v>22</v>
      </c>
      <c r="I77" s="14">
        <v>9.9283568899999999</v>
      </c>
      <c r="J77" s="8" t="s">
        <v>20</v>
      </c>
      <c r="K77" s="11">
        <v>17327.520469999999</v>
      </c>
      <c r="M77" s="11">
        <v>20</v>
      </c>
      <c r="O77" s="11">
        <v>69</v>
      </c>
      <c r="Q77" s="1">
        <f t="shared" si="1"/>
        <v>0.79283416855555555</v>
      </c>
      <c r="R77" s="21" t="s">
        <v>311</v>
      </c>
    </row>
    <row r="78" spans="1:18" ht="15.9" customHeight="1" x14ac:dyDescent="0.25">
      <c r="A78" s="11">
        <v>71</v>
      </c>
      <c r="B78" s="12" t="s">
        <v>100</v>
      </c>
      <c r="C78" s="13">
        <v>0.81</v>
      </c>
      <c r="E78" s="14">
        <v>79.602000000000004</v>
      </c>
      <c r="G78" s="14">
        <v>14.51014996</v>
      </c>
      <c r="I78" s="14">
        <v>10.17531099</v>
      </c>
      <c r="J78" s="8" t="s">
        <v>20</v>
      </c>
      <c r="K78" s="11">
        <v>17627.394039999999</v>
      </c>
      <c r="M78" s="11">
        <v>16</v>
      </c>
      <c r="O78" s="11">
        <v>70</v>
      </c>
      <c r="Q78" s="1">
        <f t="shared" si="1"/>
        <v>0.74223675411111112</v>
      </c>
      <c r="R78" s="21" t="s">
        <v>312</v>
      </c>
    </row>
    <row r="79" spans="1:18" ht="15.9" customHeight="1" x14ac:dyDescent="0.25">
      <c r="A79" s="11">
        <v>72</v>
      </c>
      <c r="B79" s="12" t="s">
        <v>101</v>
      </c>
      <c r="C79" s="13">
        <v>0.80700000000000005</v>
      </c>
      <c r="E79" s="14">
        <v>73.489999999999995</v>
      </c>
      <c r="G79" s="14">
        <v>14.23764336</v>
      </c>
      <c r="H79" s="8" t="s">
        <v>102</v>
      </c>
      <c r="I79" s="14">
        <v>10.792750359999999</v>
      </c>
      <c r="K79" s="11">
        <v>27000.145110000001</v>
      </c>
      <c r="M79" s="11">
        <v>-7</v>
      </c>
      <c r="O79" s="11">
        <v>71</v>
      </c>
      <c r="Q79" s="1">
        <f t="shared" si="1"/>
        <v>0.75524843866666669</v>
      </c>
      <c r="R79" s="21" t="s">
        <v>313</v>
      </c>
    </row>
    <row r="80" spans="1:18" ht="15.9" customHeight="1" x14ac:dyDescent="0.25">
      <c r="A80" s="11">
        <v>73</v>
      </c>
      <c r="B80" s="12" t="s">
        <v>103</v>
      </c>
      <c r="C80" s="13">
        <v>0.80600000000000005</v>
      </c>
      <c r="E80" s="14">
        <v>74.926000000000002</v>
      </c>
      <c r="G80" s="14">
        <v>14.16282114</v>
      </c>
      <c r="H80" s="8" t="s">
        <v>22</v>
      </c>
      <c r="I80" s="14">
        <v>10.10332754</v>
      </c>
      <c r="J80" s="8" t="s">
        <v>20</v>
      </c>
      <c r="K80" s="11">
        <v>27279.96011</v>
      </c>
      <c r="M80" s="11">
        <v>-9</v>
      </c>
      <c r="O80" s="11">
        <v>75</v>
      </c>
      <c r="Q80" s="1">
        <f t="shared" si="1"/>
        <v>0.73018928300000008</v>
      </c>
      <c r="R80" s="21" t="s">
        <v>314</v>
      </c>
    </row>
    <row r="81" spans="1:18" ht="15.9" customHeight="1" x14ac:dyDescent="0.25">
      <c r="A81" s="11">
        <v>74</v>
      </c>
      <c r="B81" s="12" t="s">
        <v>104</v>
      </c>
      <c r="C81" s="13">
        <v>0.80400000000000005</v>
      </c>
      <c r="E81" s="14">
        <v>77.849999999999994</v>
      </c>
      <c r="G81" s="14">
        <v>13.16394043</v>
      </c>
      <c r="I81" s="14">
        <v>10.97000027</v>
      </c>
      <c r="K81" s="11">
        <v>19827.48588</v>
      </c>
      <c r="M81" s="11">
        <v>6</v>
      </c>
      <c r="O81" s="11">
        <v>73</v>
      </c>
      <c r="Q81" s="1">
        <f t="shared" si="1"/>
        <v>0.73133168761111111</v>
      </c>
      <c r="R81" s="21" t="s">
        <v>315</v>
      </c>
    </row>
    <row r="82" spans="1:18" ht="15.9" customHeight="1" x14ac:dyDescent="0.25">
      <c r="A82" s="11">
        <v>75</v>
      </c>
      <c r="B82" s="12" t="s">
        <v>105</v>
      </c>
      <c r="C82" s="13">
        <v>0.79900000000000004</v>
      </c>
      <c r="E82" s="14">
        <v>77.653999999999996</v>
      </c>
      <c r="G82" s="14">
        <v>13.968330610000001</v>
      </c>
      <c r="H82" s="8" t="s">
        <v>22</v>
      </c>
      <c r="I82" s="14">
        <v>10.84671198</v>
      </c>
      <c r="J82" s="8" t="s">
        <v>22</v>
      </c>
      <c r="K82" s="11">
        <v>16095.77169</v>
      </c>
      <c r="M82" s="11">
        <v>19</v>
      </c>
      <c r="O82" s="11">
        <v>77</v>
      </c>
      <c r="Q82" s="1">
        <f t="shared" si="1"/>
        <v>0.74956624961111107</v>
      </c>
      <c r="R82" s="21" t="s">
        <v>316</v>
      </c>
    </row>
    <row r="83" spans="1:18" ht="15.9" customHeight="1" x14ac:dyDescent="0.25">
      <c r="A83" s="11">
        <v>76</v>
      </c>
      <c r="B83" s="12" t="s">
        <v>106</v>
      </c>
      <c r="C83" s="13">
        <v>0.79800000000000004</v>
      </c>
      <c r="E83" s="14">
        <v>71.23</v>
      </c>
      <c r="G83" s="14">
        <v>16.2530213</v>
      </c>
      <c r="H83" s="8" t="s">
        <v>95</v>
      </c>
      <c r="I83" s="14">
        <v>11.295349679999999</v>
      </c>
      <c r="J83" s="8" t="s">
        <v>107</v>
      </c>
      <c r="K83" s="11">
        <v>17246.63609</v>
      </c>
      <c r="M83" s="11">
        <v>14</v>
      </c>
      <c r="O83" s="11">
        <v>75</v>
      </c>
      <c r="Q83" s="1">
        <f t="shared" si="1"/>
        <v>0.82798446988888885</v>
      </c>
      <c r="R83" s="21" t="s">
        <v>317</v>
      </c>
    </row>
    <row r="84" spans="1:18" ht="15.9" customHeight="1" x14ac:dyDescent="0.25">
      <c r="A84" s="11">
        <v>76</v>
      </c>
      <c r="B84" s="12" t="s">
        <v>108</v>
      </c>
      <c r="C84" s="13">
        <v>0.79800000000000004</v>
      </c>
      <c r="E84" s="14">
        <v>76.412000000000006</v>
      </c>
      <c r="G84" s="14">
        <v>15.35883492</v>
      </c>
      <c r="H84" s="8" t="s">
        <v>22</v>
      </c>
      <c r="I84" s="14">
        <v>9.0399999619999996</v>
      </c>
      <c r="K84" s="11">
        <v>20569.901760000001</v>
      </c>
      <c r="M84" s="11">
        <v>1</v>
      </c>
      <c r="O84" s="11">
        <v>78</v>
      </c>
      <c r="Q84" s="1">
        <f t="shared" si="1"/>
        <v>0.72796763539999998</v>
      </c>
      <c r="R84" s="21" t="s">
        <v>318</v>
      </c>
    </row>
    <row r="85" spans="1:18" ht="15.9" customHeight="1" x14ac:dyDescent="0.25">
      <c r="A85" s="11">
        <v>78</v>
      </c>
      <c r="B85" s="12" t="s">
        <v>109</v>
      </c>
      <c r="C85" s="13">
        <v>0.79700000000000004</v>
      </c>
      <c r="E85" s="14">
        <v>77.953000000000003</v>
      </c>
      <c r="G85" s="14">
        <v>15.478749499999999</v>
      </c>
      <c r="H85" s="8" t="s">
        <v>22</v>
      </c>
      <c r="I85" s="14">
        <v>8.0361815970000006</v>
      </c>
      <c r="J85" s="8" t="s">
        <v>22</v>
      </c>
      <c r="K85" s="11">
        <v>22029.222529999999</v>
      </c>
      <c r="M85" s="11">
        <v>-7</v>
      </c>
      <c r="O85" s="11">
        <v>74</v>
      </c>
      <c r="Q85" s="1">
        <f t="shared" si="1"/>
        <v>0.69783798378888884</v>
      </c>
      <c r="R85" s="21" t="s">
        <v>319</v>
      </c>
    </row>
    <row r="86" spans="1:18" ht="15.9" customHeight="1" x14ac:dyDescent="0.25">
      <c r="A86" s="11">
        <v>79</v>
      </c>
      <c r="B86" s="12" t="s">
        <v>110</v>
      </c>
      <c r="C86" s="13">
        <v>0.79400000000000004</v>
      </c>
      <c r="E86" s="14">
        <v>77.739999999999995</v>
      </c>
      <c r="G86" s="14">
        <v>14.90939376</v>
      </c>
      <c r="H86" s="8" t="s">
        <v>22</v>
      </c>
      <c r="I86" s="14">
        <v>10.15465159</v>
      </c>
      <c r="J86" s="8" t="s">
        <v>22</v>
      </c>
      <c r="K86" s="11">
        <v>14338.709769999999</v>
      </c>
      <c r="M86" s="11">
        <v>23</v>
      </c>
      <c r="O86" s="11">
        <v>79</v>
      </c>
      <c r="Q86" s="1">
        <f t="shared" si="1"/>
        <v>0.752638213</v>
      </c>
      <c r="R86" s="21" t="s">
        <v>320</v>
      </c>
    </row>
    <row r="87" spans="1:18" ht="15.9" customHeight="1" x14ac:dyDescent="0.25">
      <c r="A87" s="11">
        <v>80</v>
      </c>
      <c r="B87" s="12" t="s">
        <v>111</v>
      </c>
      <c r="C87" s="13">
        <v>0.79100000000000004</v>
      </c>
      <c r="E87" s="14">
        <v>75.204999999999998</v>
      </c>
      <c r="G87" s="14">
        <v>16.577289189999998</v>
      </c>
      <c r="H87" s="8" t="s">
        <v>22</v>
      </c>
      <c r="I87" s="14">
        <v>9.4463993070000001</v>
      </c>
      <c r="J87" s="8" t="s">
        <v>112</v>
      </c>
      <c r="K87" s="11">
        <v>14349.028039999999</v>
      </c>
      <c r="M87" s="11">
        <v>21</v>
      </c>
      <c r="O87" s="11">
        <v>80</v>
      </c>
      <c r="Q87" s="1">
        <f t="shared" si="1"/>
        <v>0.77536023217777772</v>
      </c>
      <c r="R87" s="21" t="s">
        <v>321</v>
      </c>
    </row>
    <row r="88" spans="1:18" ht="15.9" customHeight="1" x14ac:dyDescent="0.25">
      <c r="A88" s="11">
        <v>81</v>
      </c>
      <c r="B88" s="12" t="s">
        <v>113</v>
      </c>
      <c r="C88" s="13">
        <v>0.78900000000000003</v>
      </c>
      <c r="E88" s="14">
        <v>74.429000000000002</v>
      </c>
      <c r="G88" s="14">
        <v>12.90977955</v>
      </c>
      <c r="I88" s="14">
        <v>11.06999969</v>
      </c>
      <c r="K88" s="11">
        <v>20667.957289999998</v>
      </c>
      <c r="M88" s="11">
        <v>-5</v>
      </c>
      <c r="O88" s="11">
        <v>82</v>
      </c>
      <c r="Q88" s="1">
        <f t="shared" si="1"/>
        <v>0.72760497716666661</v>
      </c>
      <c r="R88" s="21" t="s">
        <v>322</v>
      </c>
    </row>
    <row r="89" spans="1:18" ht="15.9" customHeight="1" x14ac:dyDescent="0.25">
      <c r="A89" s="11">
        <v>81</v>
      </c>
      <c r="B89" s="12" t="s">
        <v>114</v>
      </c>
      <c r="C89" s="13">
        <v>0.78900000000000003</v>
      </c>
      <c r="E89" s="14">
        <v>75.069000000000003</v>
      </c>
      <c r="G89" s="14">
        <v>14.468110080000001</v>
      </c>
      <c r="I89" s="14">
        <v>9.3495109339999996</v>
      </c>
      <c r="J89" s="8" t="s">
        <v>22</v>
      </c>
      <c r="K89" s="11">
        <v>21812.65566</v>
      </c>
      <c r="M89" s="11">
        <v>-8</v>
      </c>
      <c r="O89" s="11">
        <v>84</v>
      </c>
      <c r="Q89" s="1">
        <f t="shared" si="1"/>
        <v>0.71354231113333333</v>
      </c>
      <c r="R89" s="21" t="s">
        <v>323</v>
      </c>
    </row>
    <row r="90" spans="1:18" ht="15.9" customHeight="1" x14ac:dyDescent="0.25">
      <c r="A90" s="11">
        <v>83</v>
      </c>
      <c r="B90" s="12" t="s">
        <v>115</v>
      </c>
      <c r="C90" s="13">
        <v>0.78800000000000003</v>
      </c>
      <c r="E90" s="14">
        <v>77.724999999999994</v>
      </c>
      <c r="G90" s="14">
        <v>14.286410330000001</v>
      </c>
      <c r="I90" s="14">
        <v>9.0315815970000006</v>
      </c>
      <c r="J90" s="8" t="s">
        <v>22</v>
      </c>
      <c r="K90" s="11">
        <v>18665.949670000002</v>
      </c>
      <c r="M90" s="11">
        <v>1</v>
      </c>
      <c r="O90" s="11">
        <v>85</v>
      </c>
      <c r="Q90" s="1">
        <f t="shared" si="1"/>
        <v>0.69789745128888891</v>
      </c>
      <c r="R90" s="21" t="s">
        <v>324</v>
      </c>
    </row>
    <row r="91" spans="1:18" ht="15.9" customHeight="1" x14ac:dyDescent="0.25">
      <c r="A91" s="11">
        <v>84</v>
      </c>
      <c r="B91" s="12" t="s">
        <v>116</v>
      </c>
      <c r="C91" s="13">
        <v>0.78600000000000003</v>
      </c>
      <c r="E91" s="14">
        <v>75.847999999999999</v>
      </c>
      <c r="G91" s="14">
        <v>15.7927103</v>
      </c>
      <c r="I91" s="14">
        <v>8.4253717520000002</v>
      </c>
      <c r="J91" s="8" t="s">
        <v>22</v>
      </c>
      <c r="K91" s="11">
        <v>18011.285459999999</v>
      </c>
      <c r="M91" s="11">
        <v>1</v>
      </c>
      <c r="O91" s="11">
        <v>86</v>
      </c>
      <c r="Q91" s="1">
        <f t="shared" si="1"/>
        <v>0.71953212228888885</v>
      </c>
      <c r="R91" s="21" t="s">
        <v>325</v>
      </c>
    </row>
    <row r="92" spans="1:18" ht="15.9" customHeight="1" x14ac:dyDescent="0.25">
      <c r="A92" s="11">
        <v>84</v>
      </c>
      <c r="B92" s="12" t="s">
        <v>117</v>
      </c>
      <c r="C92" s="13">
        <v>0.78600000000000003</v>
      </c>
      <c r="E92" s="14">
        <v>69.269000000000005</v>
      </c>
      <c r="G92" s="14">
        <v>14.06742382</v>
      </c>
      <c r="I92" s="14">
        <v>13.29903477</v>
      </c>
      <c r="J92" s="8" t="s">
        <v>107</v>
      </c>
      <c r="K92" s="11">
        <v>16034.51036</v>
      </c>
      <c r="M92" s="11">
        <v>11</v>
      </c>
      <c r="O92" s="11">
        <v>81</v>
      </c>
      <c r="Q92" s="1">
        <f t="shared" si="1"/>
        <v>0.83406293177777779</v>
      </c>
      <c r="R92" s="21" t="s">
        <v>326</v>
      </c>
    </row>
    <row r="93" spans="1:18" ht="15.9" customHeight="1" x14ac:dyDescent="0.25">
      <c r="A93" s="11">
        <v>86</v>
      </c>
      <c r="B93" s="12" t="s">
        <v>118</v>
      </c>
      <c r="C93" s="13">
        <v>0.78500000000000003</v>
      </c>
      <c r="E93" s="14">
        <v>71.197999999999993</v>
      </c>
      <c r="G93" s="14">
        <v>14.638568469999999</v>
      </c>
      <c r="H93" s="8" t="s">
        <v>22</v>
      </c>
      <c r="I93" s="14">
        <v>11.829999920000001</v>
      </c>
      <c r="K93" s="11">
        <v>15866.54207</v>
      </c>
      <c r="M93" s="11">
        <v>11</v>
      </c>
      <c r="O93" s="11">
        <v>82</v>
      </c>
      <c r="Q93" s="1">
        <f t="shared" si="1"/>
        <v>0.80096023261111116</v>
      </c>
      <c r="R93" s="21" t="s">
        <v>327</v>
      </c>
    </row>
    <row r="94" spans="1:18" ht="15.9" customHeight="1" x14ac:dyDescent="0.25">
      <c r="A94" s="11">
        <v>87</v>
      </c>
      <c r="B94" s="12" t="s">
        <v>119</v>
      </c>
      <c r="C94" s="13">
        <v>0.77900000000000003</v>
      </c>
      <c r="E94" s="14">
        <v>73.421999999999997</v>
      </c>
      <c r="G94" s="14">
        <v>13.328009610000001</v>
      </c>
      <c r="I94" s="14">
        <v>11.12273899</v>
      </c>
      <c r="J94" s="8" t="s">
        <v>20</v>
      </c>
      <c r="K94" s="11">
        <v>16933.144530000001</v>
      </c>
      <c r="M94" s="11">
        <v>5</v>
      </c>
      <c r="O94" s="11">
        <v>90</v>
      </c>
      <c r="Q94" s="1">
        <f t="shared" si="1"/>
        <v>0.74098045550000002</v>
      </c>
      <c r="R94" s="21" t="s">
        <v>328</v>
      </c>
    </row>
    <row r="95" spans="1:18" ht="15.9" customHeight="1" x14ac:dyDescent="0.25">
      <c r="A95" s="11">
        <v>88</v>
      </c>
      <c r="B95" s="12" t="s">
        <v>120</v>
      </c>
      <c r="C95" s="13">
        <v>0.77700000000000002</v>
      </c>
      <c r="E95" s="14">
        <v>77.391999999999996</v>
      </c>
      <c r="G95" s="14">
        <v>14.85167027</v>
      </c>
      <c r="I95" s="14">
        <v>8.9700002669999996</v>
      </c>
      <c r="K95" s="11">
        <v>13986.39698</v>
      </c>
      <c r="M95" s="11">
        <v>15</v>
      </c>
      <c r="O95" s="11">
        <v>89</v>
      </c>
      <c r="Q95" s="1">
        <f t="shared" si="1"/>
        <v>0.71154640528888891</v>
      </c>
      <c r="R95" s="21" t="s">
        <v>329</v>
      </c>
    </row>
    <row r="96" spans="1:18" ht="15.9" customHeight="1" x14ac:dyDescent="0.25">
      <c r="A96" s="11">
        <v>89</v>
      </c>
      <c r="B96" s="12" t="s">
        <v>121</v>
      </c>
      <c r="C96" s="13">
        <v>0.77600000000000002</v>
      </c>
      <c r="E96" s="14">
        <v>73.72</v>
      </c>
      <c r="G96" s="14">
        <v>13.61692047</v>
      </c>
      <c r="I96" s="14">
        <v>9.4445257560000009</v>
      </c>
      <c r="J96" s="8" t="s">
        <v>22</v>
      </c>
      <c r="K96" s="11">
        <v>22023.510590000002</v>
      </c>
      <c r="M96" s="11">
        <v>-17</v>
      </c>
      <c r="O96" s="11">
        <v>87</v>
      </c>
      <c r="Q96" s="1">
        <f t="shared" si="1"/>
        <v>0.69306531603333332</v>
      </c>
      <c r="R96" s="21" t="s">
        <v>330</v>
      </c>
    </row>
    <row r="97" spans="1:18" ht="15.9" customHeight="1" x14ac:dyDescent="0.25">
      <c r="A97" s="11">
        <v>89</v>
      </c>
      <c r="B97" s="12" t="s">
        <v>122</v>
      </c>
      <c r="C97" s="13">
        <v>0.77600000000000002</v>
      </c>
      <c r="E97" s="14">
        <v>70.180000000000007</v>
      </c>
      <c r="G97" s="14">
        <v>13.022057650000001</v>
      </c>
      <c r="H97" s="8" t="s">
        <v>102</v>
      </c>
      <c r="I97" s="14">
        <v>8.7024296719999992</v>
      </c>
      <c r="J97" s="8" t="s">
        <v>20</v>
      </c>
      <c r="K97" s="11">
        <v>46959.251730000004</v>
      </c>
      <c r="M97" s="11">
        <v>-54</v>
      </c>
      <c r="O97" s="11">
        <v>95</v>
      </c>
      <c r="Q97" s="1">
        <f t="shared" si="1"/>
        <v>0.65180481267777779</v>
      </c>
      <c r="R97" s="21" t="s">
        <v>331</v>
      </c>
    </row>
    <row r="98" spans="1:18" ht="15.9" customHeight="1" x14ac:dyDescent="0.25">
      <c r="A98" s="11">
        <v>89</v>
      </c>
      <c r="B98" s="12" t="s">
        <v>123</v>
      </c>
      <c r="C98" s="13">
        <v>0.77600000000000002</v>
      </c>
      <c r="E98" s="14">
        <v>77.483000000000004</v>
      </c>
      <c r="G98" s="14">
        <v>13.12815666</v>
      </c>
      <c r="I98" s="14">
        <v>10.77000046</v>
      </c>
      <c r="K98" s="11">
        <v>12615.60045</v>
      </c>
      <c r="M98" s="11">
        <v>22</v>
      </c>
      <c r="O98" s="11">
        <v>88</v>
      </c>
      <c r="Q98" s="1">
        <f t="shared" si="1"/>
        <v>0.72367103366666674</v>
      </c>
      <c r="R98" s="21" t="s">
        <v>332</v>
      </c>
    </row>
    <row r="99" spans="1:18" ht="15.9" customHeight="1" x14ac:dyDescent="0.25">
      <c r="A99" s="11">
        <v>92</v>
      </c>
      <c r="B99" s="12" t="s">
        <v>124</v>
      </c>
      <c r="C99" s="13">
        <v>0.76900000000000002</v>
      </c>
      <c r="E99" s="14">
        <v>72.894999999999996</v>
      </c>
      <c r="G99" s="14">
        <v>17.786930179999999</v>
      </c>
      <c r="H99" s="8" t="s">
        <v>22</v>
      </c>
      <c r="I99" s="14">
        <v>10.914948949999999</v>
      </c>
      <c r="J99" s="8" t="s">
        <v>20</v>
      </c>
      <c r="K99" s="11">
        <v>7438.2100920000003</v>
      </c>
      <c r="M99" s="11">
        <v>38</v>
      </c>
      <c r="O99" s="11">
        <v>91</v>
      </c>
      <c r="Q99" s="1">
        <f t="shared" si="1"/>
        <v>0.85791302555555549</v>
      </c>
      <c r="R99" s="21" t="s">
        <v>333</v>
      </c>
    </row>
    <row r="100" spans="1:18" ht="15.9" customHeight="1" x14ac:dyDescent="0.25">
      <c r="A100" s="11">
        <v>93</v>
      </c>
      <c r="B100" s="12" t="s">
        <v>125</v>
      </c>
      <c r="C100" s="13">
        <v>0.76600000000000001</v>
      </c>
      <c r="E100" s="14">
        <v>81.040999999999997</v>
      </c>
      <c r="G100" s="14">
        <v>12.76840687</v>
      </c>
      <c r="I100" s="14">
        <v>7.4103728660000003</v>
      </c>
      <c r="J100" s="8" t="s">
        <v>20</v>
      </c>
      <c r="K100" s="11">
        <v>19317.31882</v>
      </c>
      <c r="M100" s="11">
        <v>-11</v>
      </c>
      <c r="O100" s="11">
        <v>91</v>
      </c>
      <c r="Q100" s="1">
        <f t="shared" si="1"/>
        <v>0.60169039747777786</v>
      </c>
      <c r="R100" s="21" t="s">
        <v>334</v>
      </c>
    </row>
    <row r="101" spans="1:18" ht="15.9" customHeight="1" x14ac:dyDescent="0.25">
      <c r="A101" s="11">
        <v>93</v>
      </c>
      <c r="B101" s="12" t="s">
        <v>126</v>
      </c>
      <c r="C101" s="13">
        <v>0.76600000000000001</v>
      </c>
      <c r="E101" s="14">
        <v>74.587999999999994</v>
      </c>
      <c r="G101" s="14">
        <v>15.457715029999999</v>
      </c>
      <c r="I101" s="14">
        <v>8.9799995419999998</v>
      </c>
      <c r="K101" s="11">
        <v>13032.635329999999</v>
      </c>
      <c r="M101" s="11">
        <v>14</v>
      </c>
      <c r="O101" s="11">
        <v>91</v>
      </c>
      <c r="Q101" s="1">
        <f t="shared" si="1"/>
        <v>0.72871429112222219</v>
      </c>
      <c r="R101" s="21" t="s">
        <v>335</v>
      </c>
    </row>
    <row r="102" spans="1:18" ht="15.9" customHeight="1" x14ac:dyDescent="0.25">
      <c r="A102" s="11">
        <v>95</v>
      </c>
      <c r="B102" s="12" t="s">
        <v>127</v>
      </c>
      <c r="C102" s="13">
        <v>0.76400000000000001</v>
      </c>
      <c r="E102" s="14">
        <v>70.072999999999993</v>
      </c>
      <c r="G102" s="14">
        <v>13.240579609999999</v>
      </c>
      <c r="I102" s="14">
        <v>11.20780193</v>
      </c>
      <c r="J102" s="8" t="s">
        <v>22</v>
      </c>
      <c r="K102" s="11">
        <v>17715.58167</v>
      </c>
      <c r="M102" s="11">
        <v>-9</v>
      </c>
      <c r="O102" s="11">
        <v>96</v>
      </c>
      <c r="Q102" s="1">
        <f t="shared" si="1"/>
        <v>0.74138727572222218</v>
      </c>
      <c r="R102" s="21" t="s">
        <v>336</v>
      </c>
    </row>
    <row r="103" spans="1:18" ht="15.9" customHeight="1" x14ac:dyDescent="0.25">
      <c r="A103" s="11">
        <v>96</v>
      </c>
      <c r="B103" s="12" t="s">
        <v>128</v>
      </c>
      <c r="C103" s="13">
        <v>0.76300000000000001</v>
      </c>
      <c r="E103" s="14">
        <v>76.260999999999996</v>
      </c>
      <c r="G103" s="14">
        <v>15.4951601</v>
      </c>
      <c r="I103" s="14">
        <v>7.4163869870000001</v>
      </c>
      <c r="J103" s="8" t="s">
        <v>22</v>
      </c>
      <c r="K103" s="11">
        <v>15114.17175</v>
      </c>
      <c r="M103" s="11">
        <v>3</v>
      </c>
      <c r="O103" s="11">
        <v>96</v>
      </c>
      <c r="Q103" s="1">
        <f t="shared" si="1"/>
        <v>0.67763401345555552</v>
      </c>
      <c r="R103" s="21" t="s">
        <v>337</v>
      </c>
    </row>
    <row r="104" spans="1:18" ht="15.9" customHeight="1" x14ac:dyDescent="0.25">
      <c r="A104" s="11">
        <v>97</v>
      </c>
      <c r="B104" s="12" t="s">
        <v>129</v>
      </c>
      <c r="C104" s="13">
        <v>0.76200000000000001</v>
      </c>
      <c r="E104" s="14">
        <v>78.084999999999994</v>
      </c>
      <c r="G104" s="14">
        <v>13.87884045</v>
      </c>
      <c r="I104" s="14">
        <v>10.631489029999999</v>
      </c>
      <c r="J104" s="8" t="s">
        <v>20</v>
      </c>
      <c r="K104" s="11">
        <v>8415.4117079999996</v>
      </c>
      <c r="L104" s="8" t="s">
        <v>130</v>
      </c>
      <c r="M104" s="11">
        <v>30</v>
      </c>
      <c r="O104" s="11">
        <v>91</v>
      </c>
      <c r="Q104" s="1">
        <f t="shared" si="1"/>
        <v>0.73990631350000002</v>
      </c>
      <c r="R104" s="21" t="s">
        <v>338</v>
      </c>
    </row>
    <row r="105" spans="1:18" ht="15.9" customHeight="1" x14ac:dyDescent="0.25">
      <c r="A105" s="11">
        <v>98</v>
      </c>
      <c r="B105" s="12" t="s">
        <v>131</v>
      </c>
      <c r="C105" s="13">
        <v>0.76100000000000001</v>
      </c>
      <c r="E105" s="14">
        <v>71.132000000000005</v>
      </c>
      <c r="G105" s="14">
        <v>14.150999669999999</v>
      </c>
      <c r="H105" s="8" t="s">
        <v>22</v>
      </c>
      <c r="I105" s="14">
        <v>10.12508965</v>
      </c>
      <c r="K105" s="11">
        <v>16001.12551</v>
      </c>
      <c r="M105" s="11">
        <v>-2</v>
      </c>
      <c r="O105" s="11">
        <v>98</v>
      </c>
      <c r="Q105" s="1">
        <f t="shared" si="1"/>
        <v>0.73058631249999995</v>
      </c>
      <c r="R105" s="21" t="s">
        <v>339</v>
      </c>
    </row>
    <row r="106" spans="1:18" ht="15.9" customHeight="1" x14ac:dyDescent="0.25">
      <c r="A106" s="11">
        <v>99</v>
      </c>
      <c r="B106" s="12" t="s">
        <v>132</v>
      </c>
      <c r="C106" s="13">
        <v>0.75600000000000001</v>
      </c>
      <c r="E106" s="14">
        <v>73.843999999999994</v>
      </c>
      <c r="G106" s="14">
        <v>13.98706964</v>
      </c>
      <c r="H106" s="8" t="s">
        <v>22</v>
      </c>
      <c r="I106" s="14">
        <v>8.9306533849999994</v>
      </c>
      <c r="J106" s="8" t="s">
        <v>22</v>
      </c>
      <c r="K106" s="11">
        <v>15252.220160000001</v>
      </c>
      <c r="M106" s="11">
        <v>-1</v>
      </c>
      <c r="O106" s="11">
        <v>102</v>
      </c>
      <c r="Q106" s="1">
        <f t="shared" si="1"/>
        <v>0.68621815838888889</v>
      </c>
      <c r="R106" s="21" t="s">
        <v>340</v>
      </c>
    </row>
    <row r="107" spans="1:18" ht="15.9" customHeight="1" x14ac:dyDescent="0.25">
      <c r="A107" s="11">
        <v>100</v>
      </c>
      <c r="B107" s="12" t="s">
        <v>133</v>
      </c>
      <c r="C107" s="13">
        <v>0.754</v>
      </c>
      <c r="E107" s="14">
        <v>71.632999999999996</v>
      </c>
      <c r="G107" s="14">
        <v>13.12716193</v>
      </c>
      <c r="H107" s="8" t="s">
        <v>22</v>
      </c>
      <c r="I107" s="14">
        <v>10.136119620000001</v>
      </c>
      <c r="J107" s="8" t="s">
        <v>22</v>
      </c>
      <c r="K107" s="11">
        <v>16218.13521</v>
      </c>
      <c r="M107" s="11">
        <v>-7</v>
      </c>
      <c r="O107" s="11">
        <v>100</v>
      </c>
      <c r="Q107" s="1">
        <f t="shared" si="1"/>
        <v>0.70251404094444436</v>
      </c>
      <c r="R107" s="21" t="s">
        <v>341</v>
      </c>
    </row>
    <row r="108" spans="1:18" ht="15.9" customHeight="1" x14ac:dyDescent="0.25">
      <c r="A108" s="11">
        <v>100</v>
      </c>
      <c r="B108" s="12" t="s">
        <v>134</v>
      </c>
      <c r="C108" s="13">
        <v>0.754</v>
      </c>
      <c r="E108" s="14">
        <v>77.813999999999993</v>
      </c>
      <c r="G108" s="14">
        <v>13.109049799999999</v>
      </c>
      <c r="I108" s="14">
        <v>10.239999770000001</v>
      </c>
      <c r="K108" s="11">
        <v>9221.8723580000005</v>
      </c>
      <c r="M108" s="11">
        <v>22</v>
      </c>
      <c r="O108" s="11">
        <v>100</v>
      </c>
      <c r="Q108" s="1">
        <f t="shared" si="1"/>
        <v>0.70547359788888886</v>
      </c>
      <c r="R108" s="21" t="s">
        <v>342</v>
      </c>
    </row>
    <row r="109" spans="1:18" ht="15.9" customHeight="1" x14ac:dyDescent="0.25">
      <c r="A109" s="11">
        <v>102</v>
      </c>
      <c r="B109" s="12" t="s">
        <v>135</v>
      </c>
      <c r="C109" s="13">
        <v>0.752</v>
      </c>
      <c r="E109" s="14">
        <v>77.816999999999993</v>
      </c>
      <c r="G109" s="14">
        <v>11.68299961</v>
      </c>
      <c r="I109" s="14">
        <v>10.369999890000001</v>
      </c>
      <c r="J109" s="8" t="s">
        <v>136</v>
      </c>
      <c r="K109" s="11">
        <v>11298.88724</v>
      </c>
      <c r="M109" s="11">
        <v>13</v>
      </c>
      <c r="O109" s="11">
        <v>99</v>
      </c>
      <c r="Q109" s="1">
        <f t="shared" si="1"/>
        <v>0.67019442994444445</v>
      </c>
      <c r="R109" s="21" t="s">
        <v>343</v>
      </c>
    </row>
    <row r="110" spans="1:18" ht="15.9" customHeight="1" x14ac:dyDescent="0.25">
      <c r="A110" s="11">
        <v>103</v>
      </c>
      <c r="B110" s="12" t="s">
        <v>137</v>
      </c>
      <c r="C110" s="13">
        <v>0.748</v>
      </c>
      <c r="E110" s="14">
        <v>72.697000000000003</v>
      </c>
      <c r="G110" s="14">
        <v>12.73040962</v>
      </c>
      <c r="I110" s="14">
        <v>8.6141670549999994</v>
      </c>
      <c r="J110" s="8" t="s">
        <v>22</v>
      </c>
      <c r="K110" s="11">
        <v>20899.781930000001</v>
      </c>
      <c r="M110" s="11">
        <v>-29</v>
      </c>
      <c r="O110" s="11">
        <v>102</v>
      </c>
      <c r="Q110" s="1">
        <f t="shared" si="1"/>
        <v>0.64076139127777765</v>
      </c>
      <c r="R110" s="21" t="s">
        <v>344</v>
      </c>
    </row>
    <row r="111" spans="1:18" ht="15.9" customHeight="1" x14ac:dyDescent="0.25">
      <c r="A111" s="11">
        <v>104</v>
      </c>
      <c r="B111" s="12" t="s">
        <v>138</v>
      </c>
      <c r="C111" s="13">
        <v>0.747</v>
      </c>
      <c r="E111" s="14">
        <v>71.733999999999995</v>
      </c>
      <c r="G111" s="14">
        <v>13.637654299999999</v>
      </c>
      <c r="I111" s="14">
        <v>9.4200000760000009</v>
      </c>
      <c r="J111" s="8" t="s">
        <v>88</v>
      </c>
      <c r="K111" s="11">
        <v>14787.08237</v>
      </c>
      <c r="M111" s="11">
        <v>-4</v>
      </c>
      <c r="O111" s="11">
        <v>105</v>
      </c>
      <c r="Q111" s="1">
        <f t="shared" si="1"/>
        <v>0.69282373308888889</v>
      </c>
      <c r="R111" s="21" t="s">
        <v>345</v>
      </c>
    </row>
    <row r="112" spans="1:18" ht="15.9" customHeight="1" x14ac:dyDescent="0.25">
      <c r="A112" s="11">
        <v>105</v>
      </c>
      <c r="B112" s="12" t="s">
        <v>139</v>
      </c>
      <c r="C112" s="13">
        <v>0.746</v>
      </c>
      <c r="E112" s="14">
        <v>76.507999999999996</v>
      </c>
      <c r="G112" s="14">
        <v>14.673498560000001</v>
      </c>
      <c r="H112" s="8" t="s">
        <v>22</v>
      </c>
      <c r="I112" s="14">
        <v>7.5949201579999999</v>
      </c>
      <c r="K112" s="11">
        <v>12011.387849999999</v>
      </c>
      <c r="M112" s="11">
        <v>9</v>
      </c>
      <c r="O112" s="11">
        <v>104</v>
      </c>
      <c r="Q112" s="1">
        <f t="shared" si="1"/>
        <v>0.6607611874888889</v>
      </c>
      <c r="R112" s="21" t="s">
        <v>346</v>
      </c>
    </row>
    <row r="113" spans="1:18" ht="15.9" customHeight="1" x14ac:dyDescent="0.25">
      <c r="A113" s="11">
        <v>106</v>
      </c>
      <c r="B113" s="12" t="s">
        <v>140</v>
      </c>
      <c r="C113" s="13">
        <v>0.74099999999999999</v>
      </c>
      <c r="E113" s="14">
        <v>66.138999999999996</v>
      </c>
      <c r="G113" s="14">
        <v>13.79325008</v>
      </c>
      <c r="I113" s="14">
        <v>11.60999966</v>
      </c>
      <c r="K113" s="11">
        <v>13693.988579999999</v>
      </c>
      <c r="M113" s="11">
        <v>0</v>
      </c>
      <c r="O113" s="11">
        <v>107</v>
      </c>
      <c r="Q113" s="1">
        <f t="shared" si="1"/>
        <v>0.77014582422222222</v>
      </c>
      <c r="R113" s="21" t="s">
        <v>347</v>
      </c>
    </row>
    <row r="114" spans="1:18" ht="15.9" customHeight="1" x14ac:dyDescent="0.25">
      <c r="A114" s="11">
        <v>107</v>
      </c>
      <c r="B114" s="12" t="s">
        <v>141</v>
      </c>
      <c r="C114" s="13">
        <v>0.74</v>
      </c>
      <c r="E114" s="14">
        <v>72.388000000000005</v>
      </c>
      <c r="G114" s="14">
        <v>12.46086979</v>
      </c>
      <c r="I114" s="14">
        <v>11.90999985</v>
      </c>
      <c r="K114" s="11">
        <v>8825.7308929999999</v>
      </c>
      <c r="M114" s="11">
        <v>17</v>
      </c>
      <c r="O114" s="11">
        <v>107</v>
      </c>
      <c r="Q114" s="1">
        <f t="shared" si="1"/>
        <v>0.74313526694444443</v>
      </c>
      <c r="R114" s="21" t="s">
        <v>348</v>
      </c>
    </row>
    <row r="115" spans="1:18" ht="15.9" customHeight="1" x14ac:dyDescent="0.25">
      <c r="A115" s="11">
        <v>108</v>
      </c>
      <c r="B115" s="12" t="s">
        <v>142</v>
      </c>
      <c r="C115" s="13">
        <v>0.73299999999999998</v>
      </c>
      <c r="E115" s="14">
        <v>68.581000000000003</v>
      </c>
      <c r="G115" s="14">
        <v>15.610650059999999</v>
      </c>
      <c r="H115" s="8" t="s">
        <v>22</v>
      </c>
      <c r="I115" s="14">
        <v>10.021223190000001</v>
      </c>
      <c r="J115" s="8" t="s">
        <v>22</v>
      </c>
      <c r="K115" s="11">
        <v>9445.2448679999998</v>
      </c>
      <c r="M115" s="11">
        <v>13</v>
      </c>
      <c r="O115" s="11">
        <v>113</v>
      </c>
      <c r="Q115" s="1">
        <f t="shared" si="1"/>
        <v>0.76766994133333333</v>
      </c>
      <c r="R115" s="21" t="s">
        <v>349</v>
      </c>
    </row>
    <row r="116" spans="1:18" ht="15.9" customHeight="1" x14ac:dyDescent="0.25">
      <c r="A116" s="11">
        <v>108</v>
      </c>
      <c r="B116" s="12" t="s">
        <v>143</v>
      </c>
      <c r="C116" s="13">
        <v>0.73299999999999998</v>
      </c>
      <c r="E116" s="14">
        <v>68.337000000000003</v>
      </c>
      <c r="G116" s="14">
        <v>12.482758889999999</v>
      </c>
      <c r="H116" s="8" t="s">
        <v>22</v>
      </c>
      <c r="I116" s="14">
        <v>9.6859999999999999</v>
      </c>
      <c r="K116" s="11">
        <v>18854.06151</v>
      </c>
      <c r="M116" s="11">
        <v>-25</v>
      </c>
      <c r="O116" s="11">
        <v>111</v>
      </c>
      <c r="Q116" s="1">
        <f t="shared" si="1"/>
        <v>0.6696099691666666</v>
      </c>
      <c r="R116" s="21" t="s">
        <v>350</v>
      </c>
    </row>
    <row r="117" spans="1:18" ht="15.9" customHeight="1" x14ac:dyDescent="0.25">
      <c r="A117" s="11">
        <v>108</v>
      </c>
      <c r="B117" s="12" t="s">
        <v>144</v>
      </c>
      <c r="C117" s="13">
        <v>0.73299999999999998</v>
      </c>
      <c r="E117" s="14">
        <v>66.944999999999993</v>
      </c>
      <c r="G117" s="14">
        <v>16.386060709999999</v>
      </c>
      <c r="I117" s="14">
        <v>11.636664400000001</v>
      </c>
      <c r="J117" s="8" t="s">
        <v>107</v>
      </c>
      <c r="K117" s="11">
        <v>7223.860831</v>
      </c>
      <c r="M117" s="11">
        <v>23</v>
      </c>
      <c r="O117" s="11">
        <v>110</v>
      </c>
      <c r="Q117" s="1">
        <f t="shared" si="1"/>
        <v>0.84305716638888883</v>
      </c>
      <c r="R117" s="21" t="s">
        <v>351</v>
      </c>
    </row>
    <row r="118" spans="1:18" ht="15.9" customHeight="1" x14ac:dyDescent="0.25">
      <c r="A118" s="11">
        <v>111</v>
      </c>
      <c r="B118" s="12" t="s">
        <v>145</v>
      </c>
      <c r="C118" s="13">
        <v>0.73099999999999998</v>
      </c>
      <c r="E118" s="14">
        <v>69.162999999999997</v>
      </c>
      <c r="G118" s="14">
        <v>11.425680160000001</v>
      </c>
      <c r="I118" s="14">
        <v>10.478</v>
      </c>
      <c r="K118" s="11">
        <v>16983.77103</v>
      </c>
      <c r="M118" s="11">
        <v>-20</v>
      </c>
      <c r="O118" s="11">
        <v>112</v>
      </c>
      <c r="Q118" s="1">
        <f t="shared" si="1"/>
        <v>0.6666466711111112</v>
      </c>
      <c r="R118" s="21" t="s">
        <v>352</v>
      </c>
    </row>
    <row r="119" spans="1:18" ht="15.9" customHeight="1" x14ac:dyDescent="0.25">
      <c r="A119" s="11">
        <v>111</v>
      </c>
      <c r="B119" s="12" t="s">
        <v>146</v>
      </c>
      <c r="C119" s="13">
        <v>0.73099999999999998</v>
      </c>
      <c r="E119" s="14">
        <v>67.316000000000003</v>
      </c>
      <c r="G119" s="14">
        <v>13.84869</v>
      </c>
      <c r="I119" s="14">
        <v>10.37096977</v>
      </c>
      <c r="K119" s="11">
        <v>12843.158890000001</v>
      </c>
      <c r="M119" s="11">
        <v>-3</v>
      </c>
      <c r="O119" s="11">
        <v>114</v>
      </c>
      <c r="Q119" s="1">
        <f t="shared" si="1"/>
        <v>0.73038482566666674</v>
      </c>
      <c r="R119" s="21" t="s">
        <v>353</v>
      </c>
    </row>
    <row r="120" spans="1:18" ht="15.9" customHeight="1" x14ac:dyDescent="0.25">
      <c r="A120" s="11">
        <v>113</v>
      </c>
      <c r="B120" s="12" t="s">
        <v>147</v>
      </c>
      <c r="C120" s="13">
        <v>0.72799999999999998</v>
      </c>
      <c r="E120" s="14">
        <v>71.146000000000001</v>
      </c>
      <c r="G120" s="14">
        <v>13.33577728</v>
      </c>
      <c r="I120" s="14">
        <v>8.6972231999999998</v>
      </c>
      <c r="J120" s="8" t="s">
        <v>22</v>
      </c>
      <c r="K120" s="11">
        <v>13700.12989</v>
      </c>
      <c r="M120" s="11">
        <v>-8</v>
      </c>
      <c r="O120" s="11">
        <v>114</v>
      </c>
      <c r="Q120" s="1">
        <f t="shared" si="1"/>
        <v>0.66034569777777774</v>
      </c>
      <c r="R120" s="21" t="s">
        <v>354</v>
      </c>
    </row>
    <row r="121" spans="1:18" ht="15.9" customHeight="1" x14ac:dyDescent="0.25">
      <c r="A121" s="11">
        <v>114</v>
      </c>
      <c r="B121" s="12" t="s">
        <v>148</v>
      </c>
      <c r="C121" s="13">
        <v>0.72199999999999998</v>
      </c>
      <c r="E121" s="14">
        <v>73.631</v>
      </c>
      <c r="G121" s="14">
        <v>10.95909977</v>
      </c>
      <c r="I121" s="14">
        <v>8.4297595820000009</v>
      </c>
      <c r="J121" s="8" t="s">
        <v>22</v>
      </c>
      <c r="K121" s="11">
        <v>17344.386910000001</v>
      </c>
      <c r="M121" s="11">
        <v>-26</v>
      </c>
      <c r="O121" s="11">
        <v>116</v>
      </c>
      <c r="Q121" s="1">
        <f t="shared" si="1"/>
        <v>0.58541142412222225</v>
      </c>
      <c r="R121" s="21" t="s">
        <v>355</v>
      </c>
    </row>
    <row r="122" spans="1:18" ht="15.9" customHeight="1" x14ac:dyDescent="0.25">
      <c r="A122" s="11">
        <v>115</v>
      </c>
      <c r="B122" s="12" t="s">
        <v>149</v>
      </c>
      <c r="C122" s="13">
        <v>0.72099999999999997</v>
      </c>
      <c r="E122" s="14">
        <v>73.566000000000003</v>
      </c>
      <c r="G122" s="14">
        <v>11.98379993</v>
      </c>
      <c r="I122" s="14">
        <v>8.7622900010000002</v>
      </c>
      <c r="K122" s="11">
        <v>12343.07814</v>
      </c>
      <c r="M122" s="11">
        <v>-2</v>
      </c>
      <c r="O122" s="11">
        <v>118</v>
      </c>
      <c r="Q122" s="1">
        <f t="shared" si="1"/>
        <v>0.62495966475555553</v>
      </c>
      <c r="R122" s="21" t="s">
        <v>356</v>
      </c>
    </row>
    <row r="123" spans="1:18" ht="15.9" customHeight="1" x14ac:dyDescent="0.25">
      <c r="A123" s="11">
        <v>115</v>
      </c>
      <c r="B123" s="12" t="s">
        <v>150</v>
      </c>
      <c r="C123" s="13">
        <v>0.72099999999999997</v>
      </c>
      <c r="E123" s="14">
        <v>69.338999999999999</v>
      </c>
      <c r="G123" s="14">
        <v>12.92465677</v>
      </c>
      <c r="H123" s="8" t="s">
        <v>112</v>
      </c>
      <c r="I123" s="14">
        <v>7.77860643</v>
      </c>
      <c r="J123" s="8" t="s">
        <v>85</v>
      </c>
      <c r="K123" s="11">
        <v>19831.432359999999</v>
      </c>
      <c r="M123" s="11">
        <v>-36</v>
      </c>
      <c r="O123" s="11">
        <v>106</v>
      </c>
      <c r="Q123" s="1">
        <f t="shared" si="1"/>
        <v>0.61830512461111109</v>
      </c>
      <c r="R123" s="21" t="s">
        <v>357</v>
      </c>
    </row>
    <row r="124" spans="1:18" ht="15.9" customHeight="1" x14ac:dyDescent="0.25">
      <c r="A124" s="11">
        <v>117</v>
      </c>
      <c r="B124" s="12" t="s">
        <v>151</v>
      </c>
      <c r="C124" s="13">
        <v>0.72</v>
      </c>
      <c r="E124" s="14">
        <v>71.478999999999999</v>
      </c>
      <c r="G124" s="14">
        <v>12.383395500000001</v>
      </c>
      <c r="H124" s="8" t="s">
        <v>22</v>
      </c>
      <c r="I124" s="14">
        <v>9.9599103929999995</v>
      </c>
      <c r="K124" s="11">
        <v>10056.98531</v>
      </c>
      <c r="L124" s="8" t="s">
        <v>152</v>
      </c>
      <c r="M124" s="11">
        <v>2</v>
      </c>
      <c r="O124" s="11">
        <v>117</v>
      </c>
      <c r="Q124" s="1">
        <f t="shared" si="1"/>
        <v>0.67598022143333325</v>
      </c>
      <c r="R124" s="21" t="s">
        <v>358</v>
      </c>
    </row>
    <row r="125" spans="1:18" ht="15.9" customHeight="1" x14ac:dyDescent="0.25">
      <c r="A125" s="11">
        <v>117</v>
      </c>
      <c r="B125" s="12" t="s">
        <v>153</v>
      </c>
      <c r="C125" s="13">
        <v>0.72</v>
      </c>
      <c r="E125" s="14">
        <v>71.677000000000007</v>
      </c>
      <c r="G125" s="14">
        <v>12.71388245</v>
      </c>
      <c r="I125" s="14">
        <v>12.065888579999999</v>
      </c>
      <c r="J125" s="8" t="s">
        <v>22</v>
      </c>
      <c r="K125" s="11">
        <v>6078.1175890000004</v>
      </c>
      <c r="M125" s="11">
        <v>24</v>
      </c>
      <c r="O125" s="11">
        <v>118</v>
      </c>
      <c r="Q125" s="1">
        <f t="shared" si="1"/>
        <v>0.75535968738888881</v>
      </c>
      <c r="R125" s="21" t="s">
        <v>359</v>
      </c>
    </row>
    <row r="126" spans="1:18" ht="15.9" customHeight="1" x14ac:dyDescent="0.25">
      <c r="A126" s="11">
        <v>117</v>
      </c>
      <c r="B126" s="12" t="s">
        <v>154</v>
      </c>
      <c r="C126" s="13">
        <v>0.72</v>
      </c>
      <c r="E126" s="14">
        <v>69.832999999999998</v>
      </c>
      <c r="G126" s="14">
        <v>12.81904666</v>
      </c>
      <c r="H126" s="8" t="s">
        <v>22</v>
      </c>
      <c r="I126" s="14">
        <v>9.9772396089999997</v>
      </c>
      <c r="K126" s="11">
        <v>10731.20422</v>
      </c>
      <c r="M126" s="11">
        <v>0</v>
      </c>
      <c r="O126" s="11">
        <v>120</v>
      </c>
      <c r="Q126" s="1">
        <f t="shared" si="1"/>
        <v>0.6886592830777778</v>
      </c>
      <c r="R126" s="21" t="s">
        <v>360</v>
      </c>
    </row>
    <row r="127" spans="1:18" ht="15.9" customHeight="1" x14ac:dyDescent="0.25">
      <c r="A127" s="11">
        <v>120</v>
      </c>
      <c r="B127" s="12" t="s">
        <v>155</v>
      </c>
      <c r="C127" s="13">
        <v>0.71</v>
      </c>
      <c r="E127" s="14">
        <v>75.313000000000002</v>
      </c>
      <c r="G127" s="14">
        <v>15.074990270000001</v>
      </c>
      <c r="I127" s="14">
        <v>6.1980000000000004</v>
      </c>
      <c r="K127" s="11">
        <v>8652.8808590000008</v>
      </c>
      <c r="M127" s="11">
        <v>5</v>
      </c>
      <c r="O127" s="11">
        <v>122</v>
      </c>
      <c r="Q127" s="1">
        <f t="shared" si="1"/>
        <v>0.62534972972222225</v>
      </c>
      <c r="R127" s="21" t="s">
        <v>361</v>
      </c>
    </row>
    <row r="128" spans="1:18" ht="15.9" customHeight="1" x14ac:dyDescent="0.25">
      <c r="A128" s="11">
        <v>121</v>
      </c>
      <c r="B128" s="12" t="s">
        <v>156</v>
      </c>
      <c r="C128" s="13">
        <v>0.70899999999999996</v>
      </c>
      <c r="E128" s="14">
        <v>72.513999999999996</v>
      </c>
      <c r="G128" s="14">
        <v>12.965376539999999</v>
      </c>
      <c r="H128" s="8" t="s">
        <v>107</v>
      </c>
      <c r="I128" s="14">
        <v>9.6783853729999993</v>
      </c>
      <c r="J128" s="8" t="s">
        <v>107</v>
      </c>
      <c r="K128" s="11">
        <v>7157.08</v>
      </c>
      <c r="L128" s="8" t="s">
        <v>157</v>
      </c>
      <c r="M128" s="11">
        <v>11</v>
      </c>
      <c r="O128" s="11">
        <v>121</v>
      </c>
      <c r="Q128" s="1">
        <f t="shared" si="1"/>
        <v>0.68276219409999994</v>
      </c>
      <c r="R128" s="21" t="s">
        <v>362</v>
      </c>
    </row>
    <row r="129" spans="1:18" ht="15.9" customHeight="1" x14ac:dyDescent="0.25">
      <c r="A129" s="11">
        <v>122</v>
      </c>
      <c r="B129" s="12" t="s">
        <v>158</v>
      </c>
      <c r="C129" s="13">
        <v>0.70799999999999996</v>
      </c>
      <c r="E129" s="14">
        <v>71.697999999999993</v>
      </c>
      <c r="G129" s="14">
        <v>12.436400000000001</v>
      </c>
      <c r="I129" s="14">
        <v>11.332983609999999</v>
      </c>
      <c r="J129" s="8" t="s">
        <v>22</v>
      </c>
      <c r="K129" s="11">
        <v>5952.0169249999999</v>
      </c>
      <c r="M129" s="11">
        <v>21</v>
      </c>
      <c r="O129" s="11">
        <v>123</v>
      </c>
      <c r="Q129" s="1">
        <f t="shared" si="1"/>
        <v>0.72322167588888886</v>
      </c>
      <c r="R129" s="21" t="s">
        <v>363</v>
      </c>
    </row>
    <row r="130" spans="1:18" ht="15.9" customHeight="1" x14ac:dyDescent="0.25">
      <c r="A130" s="11">
        <v>123</v>
      </c>
      <c r="B130" s="12" t="s">
        <v>159</v>
      </c>
      <c r="C130" s="13">
        <v>0.70599999999999996</v>
      </c>
      <c r="E130" s="14">
        <v>74.947000000000003</v>
      </c>
      <c r="G130" s="14">
        <v>11.51021957</v>
      </c>
      <c r="I130" s="14">
        <v>9.9330196379999993</v>
      </c>
      <c r="K130" s="11">
        <v>6881.479609</v>
      </c>
      <c r="M130" s="11">
        <v>11</v>
      </c>
      <c r="O130" s="11">
        <v>124</v>
      </c>
      <c r="Q130" s="1">
        <f t="shared" si="1"/>
        <v>0.65082897598888889</v>
      </c>
      <c r="R130" s="21" t="s">
        <v>364</v>
      </c>
    </row>
    <row r="131" spans="1:18" ht="15.9" customHeight="1" x14ac:dyDescent="0.25">
      <c r="A131" s="11">
        <v>124</v>
      </c>
      <c r="B131" s="12" t="s">
        <v>160</v>
      </c>
      <c r="C131" s="13">
        <v>0.70299999999999996</v>
      </c>
      <c r="E131" s="14">
        <v>62.109000000000002</v>
      </c>
      <c r="G131" s="14">
        <v>12.84263763</v>
      </c>
      <c r="H131" s="8" t="s">
        <v>112</v>
      </c>
      <c r="I131" s="14">
        <v>9.4486376760000006</v>
      </c>
      <c r="J131" s="8" t="s">
        <v>112</v>
      </c>
      <c r="K131" s="11">
        <v>19642.377700000001</v>
      </c>
      <c r="M131" s="11">
        <v>-43</v>
      </c>
      <c r="O131" s="11">
        <v>125</v>
      </c>
      <c r="Q131" s="1">
        <f t="shared" si="1"/>
        <v>0.67169452336666668</v>
      </c>
      <c r="R131" s="21" t="s">
        <v>365</v>
      </c>
    </row>
    <row r="132" spans="1:18" ht="15.9" customHeight="1" x14ac:dyDescent="0.25">
      <c r="A132" s="11">
        <v>125</v>
      </c>
      <c r="B132" s="12" t="s">
        <v>161</v>
      </c>
      <c r="C132" s="13">
        <v>0.69799999999999995</v>
      </c>
      <c r="E132" s="14">
        <v>72.974999999999994</v>
      </c>
      <c r="G132" s="14">
        <v>13.152741839999999</v>
      </c>
      <c r="H132" s="8" t="s">
        <v>22</v>
      </c>
      <c r="I132" s="14">
        <v>5.8357946619999996</v>
      </c>
      <c r="J132" s="8" t="s">
        <v>85</v>
      </c>
      <c r="K132" s="11">
        <v>13842.803529999999</v>
      </c>
      <c r="M132" s="11">
        <v>-21</v>
      </c>
      <c r="O132" s="11">
        <v>126</v>
      </c>
      <c r="Q132" s="1">
        <f t="shared" si="1"/>
        <v>0.55988042873333332</v>
      </c>
      <c r="R132" s="21" t="s">
        <v>366</v>
      </c>
    </row>
    <row r="133" spans="1:18" ht="15.9" customHeight="1" x14ac:dyDescent="0.25">
      <c r="A133" s="11">
        <v>126</v>
      </c>
      <c r="B133" s="12" t="s">
        <v>162</v>
      </c>
      <c r="C133" s="13">
        <v>0.69499999999999995</v>
      </c>
      <c r="E133" s="14">
        <v>64.123000000000005</v>
      </c>
      <c r="G133" s="14">
        <v>15.246043909999999</v>
      </c>
      <c r="H133" s="8" t="s">
        <v>22</v>
      </c>
      <c r="I133" s="14">
        <v>8.6851997379999997</v>
      </c>
      <c r="K133" s="11">
        <v>9919.0852300000006</v>
      </c>
      <c r="M133" s="11">
        <v>-6</v>
      </c>
      <c r="O133" s="11">
        <v>126</v>
      </c>
      <c r="Q133" s="1">
        <f t="shared" si="1"/>
        <v>0.71300787765555551</v>
      </c>
      <c r="R133" s="21" t="s">
        <v>367</v>
      </c>
    </row>
    <row r="134" spans="1:18" ht="15.9" customHeight="1" x14ac:dyDescent="0.25">
      <c r="A134" s="11">
        <v>126</v>
      </c>
      <c r="B134" s="12" t="s">
        <v>163</v>
      </c>
      <c r="C134" s="13">
        <v>0.69499999999999995</v>
      </c>
      <c r="E134" s="14">
        <v>72.323999999999998</v>
      </c>
      <c r="G134" s="14">
        <v>12.359401350000001</v>
      </c>
      <c r="H134" s="8" t="s">
        <v>164</v>
      </c>
      <c r="I134" s="14">
        <v>6.7800462870000002</v>
      </c>
      <c r="J134" s="8" t="s">
        <v>102</v>
      </c>
      <c r="K134" s="11">
        <v>12653.52469</v>
      </c>
      <c r="M134" s="11">
        <v>-16</v>
      </c>
      <c r="O134" s="11">
        <v>126</v>
      </c>
      <c r="Q134" s="1">
        <f t="shared" si="1"/>
        <v>0.56931824706666667</v>
      </c>
      <c r="R134" s="21" t="s">
        <v>368</v>
      </c>
    </row>
    <row r="135" spans="1:18" ht="15.9" customHeight="1" x14ac:dyDescent="0.25">
      <c r="A135" s="11">
        <v>128</v>
      </c>
      <c r="B135" s="12" t="s">
        <v>165</v>
      </c>
      <c r="C135" s="13">
        <v>0.69099999999999995</v>
      </c>
      <c r="E135" s="14">
        <v>71.790000000000006</v>
      </c>
      <c r="G135" s="14">
        <v>10.84980801</v>
      </c>
      <c r="H135" s="8" t="s">
        <v>22</v>
      </c>
      <c r="I135" s="14">
        <v>11.27094825</v>
      </c>
      <c r="J135" s="8" t="s">
        <v>20</v>
      </c>
      <c r="K135" s="11">
        <v>5746.5689689999999</v>
      </c>
      <c r="M135" s="11">
        <v>17</v>
      </c>
      <c r="O135" s="11">
        <v>129</v>
      </c>
      <c r="Q135" s="1">
        <f t="shared" ref="Q135:Q197" si="2">0.5*(MIN(G135,18)/18)+0.5*(MIN(I135,15)/15)</f>
        <v>0.67708183083333329</v>
      </c>
      <c r="R135" s="21" t="s">
        <v>369</v>
      </c>
    </row>
    <row r="136" spans="1:18" ht="15.9" customHeight="1" x14ac:dyDescent="0.25">
      <c r="A136" s="11">
        <v>129</v>
      </c>
      <c r="B136" s="12" t="s">
        <v>166</v>
      </c>
      <c r="C136" s="13">
        <v>0.68899999999999995</v>
      </c>
      <c r="E136" s="14">
        <v>67.105000000000004</v>
      </c>
      <c r="G136" s="14">
        <v>12.37506862</v>
      </c>
      <c r="H136" s="8" t="s">
        <v>167</v>
      </c>
      <c r="I136" s="14">
        <v>10.76746107</v>
      </c>
      <c r="J136" s="8" t="s">
        <v>22</v>
      </c>
      <c r="K136" s="11">
        <v>7005.5207810000002</v>
      </c>
      <c r="M136" s="11">
        <v>4</v>
      </c>
      <c r="O136" s="11">
        <v>130</v>
      </c>
      <c r="Q136" s="1">
        <f t="shared" si="2"/>
        <v>0.70266727511111116</v>
      </c>
      <c r="R136" s="21" t="s">
        <v>370</v>
      </c>
    </row>
    <row r="137" spans="1:18" ht="15.9" customHeight="1" x14ac:dyDescent="0.25">
      <c r="A137" s="11">
        <v>130</v>
      </c>
      <c r="B137" s="12" t="s">
        <v>168</v>
      </c>
      <c r="C137" s="13">
        <v>0.68500000000000005</v>
      </c>
      <c r="E137" s="14">
        <v>74.671999999999997</v>
      </c>
      <c r="G137" s="14">
        <v>12.31016827</v>
      </c>
      <c r="I137" s="14">
        <v>6.7899999619999996</v>
      </c>
      <c r="K137" s="11">
        <v>8497.6586389999993</v>
      </c>
      <c r="M137" s="11">
        <v>-4</v>
      </c>
      <c r="O137" s="11">
        <v>131</v>
      </c>
      <c r="Q137" s="1">
        <f t="shared" si="2"/>
        <v>0.56828245067777772</v>
      </c>
      <c r="R137" s="21" t="s">
        <v>371</v>
      </c>
    </row>
    <row r="138" spans="1:18" ht="15.9" customHeight="1" x14ac:dyDescent="0.25">
      <c r="A138" s="11">
        <v>130</v>
      </c>
      <c r="B138" s="12" t="s">
        <v>169</v>
      </c>
      <c r="C138" s="13">
        <v>0.68500000000000005</v>
      </c>
      <c r="E138" s="14">
        <v>72.003</v>
      </c>
      <c r="G138" s="14">
        <v>12.954540250000001</v>
      </c>
      <c r="I138" s="14">
        <v>6.8800001140000004</v>
      </c>
      <c r="K138" s="11">
        <v>9046.7563360000004</v>
      </c>
      <c r="M138" s="11">
        <v>-7</v>
      </c>
      <c r="O138" s="11">
        <v>133</v>
      </c>
      <c r="Q138" s="1">
        <f t="shared" si="2"/>
        <v>0.58918167741111116</v>
      </c>
      <c r="R138" s="21" t="s">
        <v>372</v>
      </c>
    </row>
    <row r="139" spans="1:18" ht="15.9" customHeight="1" x14ac:dyDescent="0.25">
      <c r="A139" s="11">
        <v>132</v>
      </c>
      <c r="B139" s="12" t="s">
        <v>170</v>
      </c>
      <c r="C139" s="13">
        <v>0.67800000000000005</v>
      </c>
      <c r="E139" s="14">
        <v>72.099000000000004</v>
      </c>
      <c r="G139" s="14">
        <v>11.11291027</v>
      </c>
      <c r="I139" s="14">
        <v>7.3000001909999996</v>
      </c>
      <c r="K139" s="11">
        <v>10594.84201</v>
      </c>
      <c r="M139" s="11">
        <v>-14</v>
      </c>
      <c r="O139" s="11">
        <v>134</v>
      </c>
      <c r="Q139" s="1">
        <f t="shared" si="2"/>
        <v>0.55202529164444436</v>
      </c>
      <c r="R139" s="21" t="s">
        <v>373</v>
      </c>
    </row>
    <row r="140" spans="1:18" ht="15.9" customHeight="1" x14ac:dyDescent="0.25">
      <c r="A140" s="11">
        <v>133</v>
      </c>
      <c r="B140" s="12" t="s">
        <v>171</v>
      </c>
      <c r="C140" s="13">
        <v>0.67400000000000004</v>
      </c>
      <c r="E140" s="14">
        <v>63.707000000000001</v>
      </c>
      <c r="G140" s="14">
        <v>12.49119511</v>
      </c>
      <c r="H140" s="8" t="s">
        <v>112</v>
      </c>
      <c r="I140" s="14">
        <v>8.2813270140000004</v>
      </c>
      <c r="J140" s="8" t="s">
        <v>85</v>
      </c>
      <c r="K140" s="11">
        <v>12762.46845</v>
      </c>
      <c r="M140" s="11">
        <v>-24</v>
      </c>
      <c r="O140" s="11">
        <v>132</v>
      </c>
      <c r="Q140" s="1">
        <f t="shared" si="2"/>
        <v>0.62302187574444445</v>
      </c>
      <c r="R140" s="21" t="s">
        <v>374</v>
      </c>
    </row>
    <row r="141" spans="1:18" ht="15.9" customHeight="1" x14ac:dyDescent="0.25">
      <c r="A141" s="11">
        <v>133</v>
      </c>
      <c r="B141" s="12" t="s">
        <v>172</v>
      </c>
      <c r="C141" s="13">
        <v>0.67400000000000004</v>
      </c>
      <c r="E141" s="14">
        <v>65.17</v>
      </c>
      <c r="G141" s="14">
        <v>12.998009679999999</v>
      </c>
      <c r="I141" s="14">
        <v>10.130000109999999</v>
      </c>
      <c r="K141" s="11">
        <v>6547.0986350000003</v>
      </c>
      <c r="M141" s="11">
        <v>5</v>
      </c>
      <c r="O141" s="11">
        <v>109</v>
      </c>
      <c r="Q141" s="1">
        <f t="shared" si="2"/>
        <v>0.6987224947777777</v>
      </c>
      <c r="R141" s="21" t="s">
        <v>375</v>
      </c>
    </row>
    <row r="142" spans="1:18" ht="15.9" customHeight="1" x14ac:dyDescent="0.25">
      <c r="A142" s="11">
        <v>135</v>
      </c>
      <c r="B142" s="12" t="s">
        <v>173</v>
      </c>
      <c r="C142" s="13">
        <v>0.66800000000000004</v>
      </c>
      <c r="E142" s="14">
        <v>76.058999999999997</v>
      </c>
      <c r="G142" s="14">
        <v>11.367097169999999</v>
      </c>
      <c r="H142" s="8" t="s">
        <v>22</v>
      </c>
      <c r="I142" s="14">
        <v>6.0900390499999997</v>
      </c>
      <c r="J142" s="8" t="s">
        <v>85</v>
      </c>
      <c r="K142" s="11">
        <v>8165.3791719999999</v>
      </c>
      <c r="M142" s="11">
        <v>-7</v>
      </c>
      <c r="O142" s="11">
        <v>135</v>
      </c>
      <c r="Q142" s="1">
        <f t="shared" si="2"/>
        <v>0.51875400083333334</v>
      </c>
      <c r="R142" s="21" t="s">
        <v>376</v>
      </c>
    </row>
    <row r="143" spans="1:18" ht="15.9" customHeight="1" x14ac:dyDescent="0.25">
      <c r="A143" s="11">
        <v>136</v>
      </c>
      <c r="B143" s="12" t="s">
        <v>174</v>
      </c>
      <c r="C143" s="13">
        <v>0.66500000000000004</v>
      </c>
      <c r="E143" s="14">
        <v>67.385000000000005</v>
      </c>
      <c r="G143" s="14">
        <v>11.78505588</v>
      </c>
      <c r="H143" s="8" t="s">
        <v>175</v>
      </c>
      <c r="I143" s="14">
        <v>7.273146745</v>
      </c>
      <c r="J143" s="8" t="s">
        <v>20</v>
      </c>
      <c r="K143" s="11">
        <v>10916.60872</v>
      </c>
      <c r="M143" s="11">
        <v>-20</v>
      </c>
      <c r="O143" s="11">
        <v>137</v>
      </c>
      <c r="Q143" s="1">
        <f t="shared" si="2"/>
        <v>0.56980088816666663</v>
      </c>
      <c r="R143" s="21" t="s">
        <v>377</v>
      </c>
    </row>
    <row r="144" spans="1:18" ht="15.9" customHeight="1" x14ac:dyDescent="0.25">
      <c r="A144" s="11">
        <v>137</v>
      </c>
      <c r="B144" s="12" t="s">
        <v>176</v>
      </c>
      <c r="C144" s="13">
        <v>0.66200000000000003</v>
      </c>
      <c r="E144" s="14">
        <v>72.602000000000004</v>
      </c>
      <c r="G144" s="14">
        <v>10.67763042</v>
      </c>
      <c r="I144" s="14">
        <v>5.8473000529999997</v>
      </c>
      <c r="K144" s="11">
        <v>12458.603999999999</v>
      </c>
      <c r="M144" s="11">
        <v>-25</v>
      </c>
      <c r="O144" s="11">
        <v>136</v>
      </c>
      <c r="Q144" s="1">
        <f t="shared" si="2"/>
        <v>0.49151084676666668</v>
      </c>
      <c r="R144" s="21" t="s">
        <v>378</v>
      </c>
    </row>
    <row r="145" spans="1:18" ht="15.9" customHeight="1" x14ac:dyDescent="0.25">
      <c r="A145" s="11">
        <v>138</v>
      </c>
      <c r="B145" s="12" t="s">
        <v>177</v>
      </c>
      <c r="C145" s="13">
        <v>0.64900000000000002</v>
      </c>
      <c r="E145" s="14">
        <v>65.772000000000006</v>
      </c>
      <c r="G145" s="14">
        <v>12.681947109999999</v>
      </c>
      <c r="H145" s="8" t="s">
        <v>22</v>
      </c>
      <c r="I145" s="14">
        <v>8.3226447920000002</v>
      </c>
      <c r="J145" s="8" t="s">
        <v>20</v>
      </c>
      <c r="K145" s="11">
        <v>5902.5990659999998</v>
      </c>
      <c r="M145" s="11">
        <v>6</v>
      </c>
      <c r="O145" s="11">
        <v>138</v>
      </c>
      <c r="Q145" s="1">
        <f t="shared" si="2"/>
        <v>0.62969780167777778</v>
      </c>
      <c r="R145" s="21" t="s">
        <v>379</v>
      </c>
    </row>
    <row r="146" spans="1:18" ht="15.9" customHeight="1" x14ac:dyDescent="0.25">
      <c r="A146" s="11">
        <v>139</v>
      </c>
      <c r="B146" s="12" t="s">
        <v>178</v>
      </c>
      <c r="C146" s="13">
        <v>0.64500000000000002</v>
      </c>
      <c r="E146" s="14">
        <v>72.884</v>
      </c>
      <c r="G146" s="14">
        <v>10.162206469999999</v>
      </c>
      <c r="H146" s="8" t="s">
        <v>22</v>
      </c>
      <c r="I146" s="14">
        <v>7.5102290739999997</v>
      </c>
      <c r="J146" s="8" t="s">
        <v>22</v>
      </c>
      <c r="K146" s="11">
        <v>6064.7857830000003</v>
      </c>
      <c r="M146" s="11">
        <v>3</v>
      </c>
      <c r="O146" s="11">
        <v>139</v>
      </c>
      <c r="Q146" s="1">
        <f t="shared" si="2"/>
        <v>0.5326244821888888</v>
      </c>
      <c r="R146" s="21" t="s">
        <v>380</v>
      </c>
    </row>
    <row r="147" spans="1:18" ht="15.9" customHeight="1" x14ac:dyDescent="0.25">
      <c r="A147" s="11">
        <v>140</v>
      </c>
      <c r="B147" s="12" t="s">
        <v>179</v>
      </c>
      <c r="C147" s="13">
        <v>0.64400000000000002</v>
      </c>
      <c r="E147" s="14">
        <v>66.472999999999999</v>
      </c>
      <c r="G147" s="14">
        <v>11.87390648</v>
      </c>
      <c r="H147" s="8" t="s">
        <v>180</v>
      </c>
      <c r="I147" s="14">
        <v>9.1285815689999996</v>
      </c>
      <c r="J147" s="8" t="s">
        <v>85</v>
      </c>
      <c r="K147" s="11">
        <v>4947.2804260000003</v>
      </c>
      <c r="M147" s="11">
        <v>11</v>
      </c>
      <c r="O147" s="11">
        <v>140</v>
      </c>
      <c r="Q147" s="1">
        <f t="shared" si="2"/>
        <v>0.63411678785555559</v>
      </c>
      <c r="R147" s="21" t="s">
        <v>381</v>
      </c>
    </row>
    <row r="148" spans="1:18" ht="15.9" customHeight="1" x14ac:dyDescent="0.25">
      <c r="A148" s="11">
        <v>141</v>
      </c>
      <c r="B148" s="12" t="s">
        <v>181</v>
      </c>
      <c r="C148" s="13">
        <v>0.63700000000000001</v>
      </c>
      <c r="E148" s="14">
        <v>69.718000000000004</v>
      </c>
      <c r="G148" s="14">
        <v>12.8567099</v>
      </c>
      <c r="H148" s="8" t="s">
        <v>102</v>
      </c>
      <c r="I148" s="14">
        <v>5.9875591750000003</v>
      </c>
      <c r="J148" s="8" t="s">
        <v>22</v>
      </c>
      <c r="K148" s="11">
        <v>5583.4233350000004</v>
      </c>
      <c r="M148" s="11">
        <v>6</v>
      </c>
      <c r="O148" s="11">
        <v>141</v>
      </c>
      <c r="Q148" s="1">
        <f t="shared" si="2"/>
        <v>0.55671613638888884</v>
      </c>
      <c r="R148" s="21" t="s">
        <v>382</v>
      </c>
    </row>
    <row r="149" spans="1:18" ht="15.9" customHeight="1" x14ac:dyDescent="0.25">
      <c r="A149" s="11">
        <v>142</v>
      </c>
      <c r="B149" s="12" t="s">
        <v>182</v>
      </c>
      <c r="C149" s="13">
        <v>0.63400000000000001</v>
      </c>
      <c r="E149" s="14">
        <v>67.688999999999993</v>
      </c>
      <c r="G149" s="14">
        <v>13.25306303</v>
      </c>
      <c r="H149" s="8" t="s">
        <v>175</v>
      </c>
      <c r="I149" s="14">
        <v>6.2265805509999996</v>
      </c>
      <c r="J149" s="8" t="s">
        <v>175</v>
      </c>
      <c r="K149" s="11">
        <v>5434.5946919999997</v>
      </c>
      <c r="M149" s="11">
        <v>8</v>
      </c>
      <c r="O149" s="11">
        <v>142</v>
      </c>
      <c r="Q149" s="1">
        <f t="shared" si="2"/>
        <v>0.57569332475555557</v>
      </c>
      <c r="R149" s="21" t="s">
        <v>383</v>
      </c>
    </row>
    <row r="150" spans="1:18" ht="15.9" customHeight="1" x14ac:dyDescent="0.25">
      <c r="A150" s="11">
        <v>143</v>
      </c>
      <c r="B150" s="12" t="s">
        <v>183</v>
      </c>
      <c r="C150" s="13">
        <v>0.628</v>
      </c>
      <c r="E150" s="14">
        <v>65.498000000000005</v>
      </c>
      <c r="G150" s="14">
        <v>11.418459889999999</v>
      </c>
      <c r="I150" s="14">
        <v>7.1072101590000001</v>
      </c>
      <c r="K150" s="11">
        <v>6846.3522039999998</v>
      </c>
      <c r="M150" s="11">
        <v>-8</v>
      </c>
      <c r="O150" s="11">
        <v>144</v>
      </c>
      <c r="Q150" s="1">
        <f t="shared" si="2"/>
        <v>0.55408644668888885</v>
      </c>
      <c r="R150" s="21" t="s">
        <v>384</v>
      </c>
    </row>
    <row r="151" spans="1:18" ht="15.9" customHeight="1" x14ac:dyDescent="0.25">
      <c r="A151" s="11">
        <v>143</v>
      </c>
      <c r="B151" s="12" t="s">
        <v>184</v>
      </c>
      <c r="C151" s="13">
        <v>0.628</v>
      </c>
      <c r="E151" s="14">
        <v>63.646000000000001</v>
      </c>
      <c r="G151" s="14">
        <v>11.474075729999999</v>
      </c>
      <c r="H151" s="8" t="s">
        <v>175</v>
      </c>
      <c r="I151" s="14">
        <v>8.6247100830000001</v>
      </c>
      <c r="K151" s="11">
        <v>5608.2960659999999</v>
      </c>
      <c r="M151" s="11">
        <v>3</v>
      </c>
      <c r="O151" s="11">
        <v>143</v>
      </c>
      <c r="Q151" s="1">
        <f t="shared" si="2"/>
        <v>0.60621466193333329</v>
      </c>
      <c r="R151" s="21" t="s">
        <v>385</v>
      </c>
    </row>
    <row r="152" spans="1:18" ht="15.9" customHeight="1" x14ac:dyDescent="0.25">
      <c r="A152" s="11">
        <v>145</v>
      </c>
      <c r="B152" s="12" t="s">
        <v>185</v>
      </c>
      <c r="C152" s="13">
        <v>0.622</v>
      </c>
      <c r="E152" s="14">
        <v>70.353999999999999</v>
      </c>
      <c r="G152" s="14">
        <v>13.754303930000001</v>
      </c>
      <c r="I152" s="14">
        <v>4.5037298200000002</v>
      </c>
      <c r="K152" s="11">
        <v>4725.9306130000004</v>
      </c>
      <c r="M152" s="11">
        <v>10</v>
      </c>
      <c r="O152" s="11">
        <v>150</v>
      </c>
      <c r="Q152" s="1">
        <f t="shared" si="2"/>
        <v>0.53218832538888894</v>
      </c>
      <c r="R152" s="21" t="s">
        <v>386</v>
      </c>
    </row>
    <row r="153" spans="1:18" ht="15.9" customHeight="1" x14ac:dyDescent="0.25">
      <c r="A153" s="11">
        <v>146</v>
      </c>
      <c r="B153" s="12" t="s">
        <v>186</v>
      </c>
      <c r="C153" s="13">
        <v>0.621</v>
      </c>
      <c r="E153" s="14">
        <v>71.477000000000004</v>
      </c>
      <c r="G153" s="14">
        <v>11.81160992</v>
      </c>
      <c r="H153" s="8" t="s">
        <v>22</v>
      </c>
      <c r="I153" s="14">
        <v>7.1832097270000004</v>
      </c>
      <c r="J153" s="8" t="s">
        <v>85</v>
      </c>
      <c r="K153" s="11">
        <v>3403.6901929999999</v>
      </c>
      <c r="M153" s="11">
        <v>20</v>
      </c>
      <c r="O153" s="11">
        <v>145</v>
      </c>
      <c r="Q153" s="1">
        <f t="shared" si="2"/>
        <v>0.56754059978888893</v>
      </c>
      <c r="R153" s="21" t="s">
        <v>387</v>
      </c>
    </row>
    <row r="154" spans="1:18" ht="15.9" customHeight="1" x14ac:dyDescent="0.25">
      <c r="A154" s="11">
        <v>147</v>
      </c>
      <c r="B154" s="12" t="s">
        <v>187</v>
      </c>
      <c r="C154" s="13">
        <v>0.61699999999999999</v>
      </c>
      <c r="E154" s="14">
        <v>68.963999999999999</v>
      </c>
      <c r="G154" s="14">
        <v>9.6054830550000005</v>
      </c>
      <c r="I154" s="14">
        <v>6.0602461600000002</v>
      </c>
      <c r="J154" s="8" t="s">
        <v>20</v>
      </c>
      <c r="K154" s="11">
        <v>8106.1532180000004</v>
      </c>
      <c r="M154" s="11">
        <v>-18</v>
      </c>
      <c r="O154" s="11">
        <v>147</v>
      </c>
      <c r="Q154" s="1">
        <f t="shared" si="2"/>
        <v>0.46882717908333338</v>
      </c>
      <c r="R154" s="21" t="s">
        <v>388</v>
      </c>
    </row>
    <row r="155" spans="1:18" ht="15.9" customHeight="1" x14ac:dyDescent="0.25">
      <c r="A155" s="11">
        <v>148</v>
      </c>
      <c r="B155" s="12" t="s">
        <v>188</v>
      </c>
      <c r="C155" s="13">
        <v>0.61599999999999999</v>
      </c>
      <c r="E155" s="14">
        <v>64.617000000000004</v>
      </c>
      <c r="G155" s="14">
        <v>12.1676</v>
      </c>
      <c r="I155" s="14">
        <v>5.9561730089999996</v>
      </c>
      <c r="J155" s="8" t="s">
        <v>175</v>
      </c>
      <c r="K155" s="11">
        <v>6631.2765440000003</v>
      </c>
      <c r="M155" s="11">
        <v>-11</v>
      </c>
      <c r="O155" s="11">
        <v>146</v>
      </c>
      <c r="Q155" s="1">
        <f t="shared" si="2"/>
        <v>0.53652798918888889</v>
      </c>
      <c r="R155" s="21" t="s">
        <v>389</v>
      </c>
    </row>
    <row r="156" spans="1:18" ht="15.9" customHeight="1" x14ac:dyDescent="0.25">
      <c r="A156" s="11">
        <v>149</v>
      </c>
      <c r="B156" s="12" t="s">
        <v>189</v>
      </c>
      <c r="C156" s="13">
        <v>0.61499999999999999</v>
      </c>
      <c r="E156" s="14">
        <v>67.197999999999993</v>
      </c>
      <c r="G156" s="14">
        <v>11.540085120000001</v>
      </c>
      <c r="H156" s="8" t="s">
        <v>112</v>
      </c>
      <c r="I156" s="14">
        <v>7.3325239800000004</v>
      </c>
      <c r="J156" s="8" t="s">
        <v>85</v>
      </c>
      <c r="K156" s="11">
        <v>4245.8782430000001</v>
      </c>
      <c r="M156" s="11">
        <v>7</v>
      </c>
      <c r="O156" s="11">
        <v>147</v>
      </c>
      <c r="Q156" s="1">
        <f t="shared" si="2"/>
        <v>0.56497538599999997</v>
      </c>
      <c r="R156" s="21" t="s">
        <v>390</v>
      </c>
    </row>
    <row r="157" spans="1:18" ht="15.9" customHeight="1" x14ac:dyDescent="0.25">
      <c r="A157" s="11">
        <v>150</v>
      </c>
      <c r="B157" s="12" t="s">
        <v>190</v>
      </c>
      <c r="C157" s="13">
        <v>0.60899999999999999</v>
      </c>
      <c r="E157" s="14">
        <v>66.888999999999996</v>
      </c>
      <c r="G157" s="14">
        <v>11.504560469999999</v>
      </c>
      <c r="H157" s="8" t="s">
        <v>136</v>
      </c>
      <c r="I157" s="14">
        <v>6.3800001140000004</v>
      </c>
      <c r="J157" s="8" t="s">
        <v>191</v>
      </c>
      <c r="K157" s="11">
        <v>4918.8105770000002</v>
      </c>
      <c r="L157" s="8" t="s">
        <v>192</v>
      </c>
      <c r="M157" s="11">
        <v>3</v>
      </c>
      <c r="O157" s="11">
        <v>149</v>
      </c>
      <c r="Q157" s="1">
        <f t="shared" si="2"/>
        <v>0.53223779463333332</v>
      </c>
      <c r="R157" s="21" t="s">
        <v>391</v>
      </c>
    </row>
    <row r="158" spans="1:18" ht="15.9" customHeight="1" x14ac:dyDescent="0.25">
      <c r="A158" s="11">
        <v>151</v>
      </c>
      <c r="B158" s="12" t="s">
        <v>193</v>
      </c>
      <c r="C158" s="13">
        <v>0.60599999999999998</v>
      </c>
      <c r="E158" s="14">
        <v>70.668000000000006</v>
      </c>
      <c r="G158" s="14">
        <v>11.197892189999999</v>
      </c>
      <c r="I158" s="14">
        <v>5.197100163</v>
      </c>
      <c r="K158" s="11">
        <v>4931.016842</v>
      </c>
      <c r="M158" s="11">
        <v>1</v>
      </c>
      <c r="O158" s="11">
        <v>151</v>
      </c>
      <c r="Q158" s="1">
        <f t="shared" si="2"/>
        <v>0.48428923293333331</v>
      </c>
      <c r="R158" s="21" t="s">
        <v>392</v>
      </c>
    </row>
    <row r="159" spans="1:18" ht="15.9" customHeight="1" x14ac:dyDescent="0.25">
      <c r="A159" s="11">
        <v>152</v>
      </c>
      <c r="B159" s="12" t="s">
        <v>194</v>
      </c>
      <c r="C159" s="13">
        <v>0.60299999999999998</v>
      </c>
      <c r="E159" s="14">
        <v>66.777000000000001</v>
      </c>
      <c r="G159" s="14">
        <v>13.29446063</v>
      </c>
      <c r="H159" s="8" t="s">
        <v>22</v>
      </c>
      <c r="I159" s="14">
        <v>6.0068402289999998</v>
      </c>
      <c r="K159" s="11">
        <v>3481.1214399999999</v>
      </c>
      <c r="M159" s="11">
        <v>12</v>
      </c>
      <c r="O159" s="11">
        <v>151</v>
      </c>
      <c r="Q159" s="1">
        <f t="shared" si="2"/>
        <v>0.56951858068888894</v>
      </c>
      <c r="R159" s="21" t="s">
        <v>393</v>
      </c>
    </row>
    <row r="160" spans="1:18" ht="15.9" customHeight="1" x14ac:dyDescent="0.25">
      <c r="A160" s="11">
        <v>153</v>
      </c>
      <c r="B160" s="12" t="s">
        <v>195</v>
      </c>
      <c r="C160" s="13">
        <v>0.59799999999999998</v>
      </c>
      <c r="E160" s="14">
        <v>62.774999999999999</v>
      </c>
      <c r="G160" s="14">
        <v>11.05745312</v>
      </c>
      <c r="H160" s="8" t="s">
        <v>22</v>
      </c>
      <c r="I160" s="14">
        <v>8.9308472160000001</v>
      </c>
      <c r="J160" s="8" t="s">
        <v>22</v>
      </c>
      <c r="K160" s="11">
        <v>3511.4632150000002</v>
      </c>
      <c r="M160" s="11">
        <v>9</v>
      </c>
      <c r="O160" s="11">
        <v>153</v>
      </c>
      <c r="Q160" s="1">
        <f t="shared" si="2"/>
        <v>0.60484638275555558</v>
      </c>
      <c r="R160" s="21" t="s">
        <v>394</v>
      </c>
    </row>
    <row r="161" spans="1:18" ht="15.9" customHeight="1" x14ac:dyDescent="0.25">
      <c r="A161" s="11">
        <v>154</v>
      </c>
      <c r="B161" s="12" t="s">
        <v>196</v>
      </c>
      <c r="C161" s="13">
        <v>0.59499999999999997</v>
      </c>
      <c r="E161" s="14">
        <v>66.349000000000004</v>
      </c>
      <c r="G161" s="14">
        <v>11.02052892</v>
      </c>
      <c r="H161" s="8" t="s">
        <v>197</v>
      </c>
      <c r="I161" s="14">
        <v>7.3974085430000001</v>
      </c>
      <c r="J161" s="8" t="s">
        <v>20</v>
      </c>
      <c r="K161" s="11">
        <v>3446.6758209999998</v>
      </c>
      <c r="M161" s="11">
        <v>11</v>
      </c>
      <c r="O161" s="11">
        <v>154</v>
      </c>
      <c r="Q161" s="1">
        <f t="shared" si="2"/>
        <v>0.55270608809999999</v>
      </c>
      <c r="R161" s="21" t="s">
        <v>395</v>
      </c>
    </row>
    <row r="162" spans="1:18" ht="15.9" customHeight="1" x14ac:dyDescent="0.25">
      <c r="A162" s="11">
        <v>155</v>
      </c>
      <c r="B162" s="12" t="s">
        <v>198</v>
      </c>
      <c r="C162" s="13">
        <v>0.58799999999999997</v>
      </c>
      <c r="E162" s="14">
        <v>63.7</v>
      </c>
      <c r="G162" s="14">
        <v>10.79187965</v>
      </c>
      <c r="I162" s="14">
        <v>6.5741804119999996</v>
      </c>
      <c r="J162" s="8" t="s">
        <v>20</v>
      </c>
      <c r="K162" s="11">
        <v>4746.2658199999996</v>
      </c>
      <c r="M162" s="11">
        <v>-1</v>
      </c>
      <c r="O162" s="11">
        <v>156</v>
      </c>
      <c r="Q162" s="1">
        <f t="shared" si="2"/>
        <v>0.51891378178888892</v>
      </c>
      <c r="R162" s="21" t="s">
        <v>396</v>
      </c>
    </row>
    <row r="163" spans="1:18" ht="15.9" customHeight="1" x14ac:dyDescent="0.25">
      <c r="A163" s="11">
        <v>156</v>
      </c>
      <c r="B163" s="12" t="s">
        <v>199</v>
      </c>
      <c r="C163" s="13">
        <v>0.58399999999999996</v>
      </c>
      <c r="E163" s="14">
        <v>70.528000000000006</v>
      </c>
      <c r="G163" s="14">
        <v>11.31304207</v>
      </c>
      <c r="H163" s="8" t="s">
        <v>112</v>
      </c>
      <c r="I163" s="14">
        <v>5.8796802000000001</v>
      </c>
      <c r="J163" s="8" t="s">
        <v>85</v>
      </c>
      <c r="K163" s="11">
        <v>2777.2667489999999</v>
      </c>
      <c r="M163" s="11">
        <v>18</v>
      </c>
      <c r="O163" s="11">
        <v>155</v>
      </c>
      <c r="Q163" s="1">
        <f t="shared" si="2"/>
        <v>0.51024050861111114</v>
      </c>
      <c r="R163" s="21" t="s">
        <v>397</v>
      </c>
    </row>
    <row r="164" spans="1:18" ht="15.9" customHeight="1" x14ac:dyDescent="0.25">
      <c r="A164" s="11">
        <v>157</v>
      </c>
      <c r="B164" s="12" t="s">
        <v>200</v>
      </c>
      <c r="C164" s="13">
        <v>0.58199999999999996</v>
      </c>
      <c r="E164" s="14">
        <v>61.944000000000003</v>
      </c>
      <c r="G164" s="14">
        <v>11.411129949999999</v>
      </c>
      <c r="I164" s="14">
        <v>4.8699998859999996</v>
      </c>
      <c r="K164" s="11">
        <v>6735.4162649999998</v>
      </c>
      <c r="M164" s="11">
        <v>-21</v>
      </c>
      <c r="O164" s="11">
        <v>162</v>
      </c>
      <c r="Q164" s="1">
        <f t="shared" si="2"/>
        <v>0.4793091614777778</v>
      </c>
      <c r="R164" s="21" t="s">
        <v>398</v>
      </c>
    </row>
    <row r="165" spans="1:18" ht="15.9" customHeight="1" x14ac:dyDescent="0.25">
      <c r="A165" s="11">
        <v>157</v>
      </c>
      <c r="B165" s="12" t="s">
        <v>201</v>
      </c>
      <c r="C165" s="13">
        <v>0.58199999999999996</v>
      </c>
      <c r="E165" s="14">
        <v>68.251999999999995</v>
      </c>
      <c r="G165" s="14">
        <v>11.564048189999999</v>
      </c>
      <c r="H165" s="8" t="s">
        <v>175</v>
      </c>
      <c r="I165" s="14">
        <v>6.3236630820000004</v>
      </c>
      <c r="J165" s="8" t="s">
        <v>22</v>
      </c>
      <c r="K165" s="11">
        <v>2736.4100210000001</v>
      </c>
      <c r="M165" s="11">
        <v>18</v>
      </c>
      <c r="O165" s="11">
        <v>157</v>
      </c>
      <c r="Q165" s="1">
        <f t="shared" si="2"/>
        <v>0.53201233023333327</v>
      </c>
      <c r="R165" s="21" t="s">
        <v>399</v>
      </c>
    </row>
    <row r="166" spans="1:18" ht="15.9" customHeight="1" x14ac:dyDescent="0.25">
      <c r="A166" s="11">
        <v>159</v>
      </c>
      <c r="B166" s="12" t="s">
        <v>202</v>
      </c>
      <c r="C166" s="13">
        <v>0.57799999999999996</v>
      </c>
      <c r="E166" s="14">
        <v>67.784999999999997</v>
      </c>
      <c r="G166" s="14">
        <v>12.59045029</v>
      </c>
      <c r="I166" s="14">
        <v>4.8800001140000004</v>
      </c>
      <c r="K166" s="11">
        <v>2970.5594609999998</v>
      </c>
      <c r="M166" s="11">
        <v>9</v>
      </c>
      <c r="O166" s="11">
        <v>160</v>
      </c>
      <c r="Q166" s="1">
        <f t="shared" si="2"/>
        <v>0.51240140074444451</v>
      </c>
      <c r="R166" s="21" t="s">
        <v>400</v>
      </c>
    </row>
    <row r="167" spans="1:18" ht="15.9" customHeight="1" x14ac:dyDescent="0.25">
      <c r="A167" s="11">
        <v>160</v>
      </c>
      <c r="B167" s="12" t="s">
        <v>203</v>
      </c>
      <c r="C167" s="13">
        <v>0.57599999999999996</v>
      </c>
      <c r="E167" s="14">
        <v>66.134</v>
      </c>
      <c r="G167" s="14">
        <v>11.51107187</v>
      </c>
      <c r="H167" s="8" t="s">
        <v>175</v>
      </c>
      <c r="I167" s="14">
        <v>4.9625310779999996</v>
      </c>
      <c r="J167" s="8" t="s">
        <v>20</v>
      </c>
      <c r="K167" s="11">
        <v>3970.6477070000001</v>
      </c>
      <c r="M167" s="11">
        <v>-2</v>
      </c>
      <c r="O167" s="11">
        <v>158</v>
      </c>
      <c r="Q167" s="1">
        <f t="shared" si="2"/>
        <v>0.4851696989888889</v>
      </c>
      <c r="R167" s="21" t="s">
        <v>401</v>
      </c>
    </row>
    <row r="168" spans="1:18" ht="15.9" customHeight="1" x14ac:dyDescent="0.25">
      <c r="A168" s="11">
        <v>161</v>
      </c>
      <c r="B168" s="12" t="s">
        <v>204</v>
      </c>
      <c r="C168" s="13">
        <v>0.57099999999999995</v>
      </c>
      <c r="E168" s="14">
        <v>62.738999999999997</v>
      </c>
      <c r="G168" s="14">
        <v>13.096423870000001</v>
      </c>
      <c r="H168" s="8" t="s">
        <v>22</v>
      </c>
      <c r="I168" s="14">
        <v>5.8611146190000003</v>
      </c>
      <c r="J168" s="8" t="s">
        <v>22</v>
      </c>
      <c r="K168" s="11">
        <v>2855.9638279999999</v>
      </c>
      <c r="M168" s="11">
        <v>9</v>
      </c>
      <c r="O168" s="11">
        <v>161</v>
      </c>
      <c r="Q168" s="1">
        <f t="shared" si="2"/>
        <v>0.55916003924444446</v>
      </c>
      <c r="R168" s="21" t="s">
        <v>402</v>
      </c>
    </row>
    <row r="169" spans="1:18" ht="15.9" customHeight="1" x14ac:dyDescent="0.25">
      <c r="A169" s="11">
        <v>162</v>
      </c>
      <c r="B169" s="12" t="s">
        <v>205</v>
      </c>
      <c r="C169" s="13">
        <v>0.56399999999999995</v>
      </c>
      <c r="E169" s="14">
        <v>72.12</v>
      </c>
      <c r="G169" s="14">
        <v>7.4187545269999999</v>
      </c>
      <c r="H169" s="8" t="s">
        <v>95</v>
      </c>
      <c r="I169" s="14">
        <v>5.9355200620000002</v>
      </c>
      <c r="J169" s="8" t="s">
        <v>107</v>
      </c>
      <c r="K169" s="11">
        <v>3917.702385</v>
      </c>
      <c r="M169" s="11">
        <v>-3</v>
      </c>
      <c r="O169" s="11">
        <v>159</v>
      </c>
      <c r="Q169" s="1">
        <f t="shared" si="2"/>
        <v>0.40392718337222222</v>
      </c>
      <c r="R169" s="21" t="s">
        <v>403</v>
      </c>
    </row>
    <row r="170" spans="1:18" ht="15.9" customHeight="1" x14ac:dyDescent="0.25">
      <c r="A170" s="11">
        <v>163</v>
      </c>
      <c r="B170" s="12" t="s">
        <v>206</v>
      </c>
      <c r="C170" s="13">
        <v>0.56299999999999994</v>
      </c>
      <c r="E170" s="14">
        <v>68.483999999999995</v>
      </c>
      <c r="G170" s="14">
        <v>7.949540636</v>
      </c>
      <c r="H170" s="8" t="s">
        <v>22</v>
      </c>
      <c r="I170" s="14">
        <v>4.8520258619999996</v>
      </c>
      <c r="J170" s="8" t="s">
        <v>20</v>
      </c>
      <c r="K170" s="11">
        <v>6267.470808</v>
      </c>
      <c r="M170" s="11">
        <v>-23</v>
      </c>
      <c r="O170" s="11">
        <v>163</v>
      </c>
      <c r="Q170" s="1">
        <f t="shared" si="2"/>
        <v>0.38255476862222221</v>
      </c>
      <c r="R170" s="21" t="s">
        <v>404</v>
      </c>
    </row>
    <row r="171" spans="1:18" ht="15.9" customHeight="1" x14ac:dyDescent="0.25">
      <c r="A171" s="11">
        <v>164</v>
      </c>
      <c r="B171" s="12" t="s">
        <v>207</v>
      </c>
      <c r="C171" s="13">
        <v>0.56000000000000005</v>
      </c>
      <c r="E171" s="14">
        <v>54.462000000000003</v>
      </c>
      <c r="G171" s="14">
        <v>10.51407</v>
      </c>
      <c r="I171" s="14">
        <v>7.5859699249999997</v>
      </c>
      <c r="K171" s="11">
        <v>5569.3749749999997</v>
      </c>
      <c r="M171" s="11">
        <v>-16</v>
      </c>
      <c r="O171" s="11">
        <v>164</v>
      </c>
      <c r="Q171" s="1">
        <f t="shared" si="2"/>
        <v>0.54492316416666675</v>
      </c>
      <c r="R171" s="21" t="s">
        <v>405</v>
      </c>
    </row>
    <row r="172" spans="1:18" ht="15.9" customHeight="1" x14ac:dyDescent="0.25">
      <c r="A172" s="11">
        <v>165</v>
      </c>
      <c r="B172" s="12" t="s">
        <v>208</v>
      </c>
      <c r="C172" s="13">
        <v>0.55500000000000005</v>
      </c>
      <c r="E172" s="14">
        <v>66.995000000000005</v>
      </c>
      <c r="G172" s="14">
        <v>8.5857400889999997</v>
      </c>
      <c r="I172" s="14">
        <v>6.0653500559999998</v>
      </c>
      <c r="K172" s="11">
        <v>3514.632861</v>
      </c>
      <c r="M172" s="11">
        <v>-4</v>
      </c>
      <c r="O172" s="11">
        <v>165</v>
      </c>
      <c r="Q172" s="1">
        <f t="shared" si="2"/>
        <v>0.44067111544999998</v>
      </c>
      <c r="R172" s="21" t="s">
        <v>406</v>
      </c>
    </row>
    <row r="173" spans="1:18" ht="15.9" customHeight="1" x14ac:dyDescent="0.25">
      <c r="A173" s="11">
        <v>166</v>
      </c>
      <c r="B173" s="12" t="s">
        <v>209</v>
      </c>
      <c r="C173" s="13">
        <v>0.55400000000000005</v>
      </c>
      <c r="E173" s="14">
        <v>64.936000000000007</v>
      </c>
      <c r="G173" s="14">
        <v>10.89635878</v>
      </c>
      <c r="H173" s="8" t="s">
        <v>112</v>
      </c>
      <c r="I173" s="14">
        <v>5.3822998999999996</v>
      </c>
      <c r="J173" s="8" t="s">
        <v>210</v>
      </c>
      <c r="K173" s="11">
        <v>2934.9258020000002</v>
      </c>
      <c r="M173" s="11">
        <v>3</v>
      </c>
      <c r="O173" s="11">
        <v>166</v>
      </c>
      <c r="Q173" s="1">
        <f t="shared" si="2"/>
        <v>0.48208662944444447</v>
      </c>
      <c r="R173" s="21" t="s">
        <v>407</v>
      </c>
    </row>
    <row r="174" spans="1:18" ht="15.9" customHeight="1" x14ac:dyDescent="0.25">
      <c r="A174" s="11">
        <v>167</v>
      </c>
      <c r="B174" s="12" t="s">
        <v>211</v>
      </c>
      <c r="C174" s="13">
        <v>0.55000000000000004</v>
      </c>
      <c r="E174" s="14">
        <v>57.375</v>
      </c>
      <c r="G174" s="14">
        <v>10.98659352</v>
      </c>
      <c r="H174" s="8" t="s">
        <v>22</v>
      </c>
      <c r="I174" s="14">
        <v>7.7298834860000003</v>
      </c>
      <c r="J174" s="8" t="s">
        <v>22</v>
      </c>
      <c r="K174" s="11">
        <v>3029.3856999999998</v>
      </c>
      <c r="M174" s="11">
        <v>0</v>
      </c>
      <c r="O174" s="11">
        <v>167</v>
      </c>
      <c r="Q174" s="1">
        <f t="shared" si="2"/>
        <v>0.56284593620000001</v>
      </c>
      <c r="R174" s="21" t="s">
        <v>408</v>
      </c>
    </row>
    <row r="175" spans="1:18" ht="15.9" customHeight="1" x14ac:dyDescent="0.25">
      <c r="A175" s="11">
        <v>168</v>
      </c>
      <c r="B175" s="12" t="s">
        <v>212</v>
      </c>
      <c r="C175" s="13">
        <v>0.54400000000000004</v>
      </c>
      <c r="E175" s="14">
        <v>67.649000000000001</v>
      </c>
      <c r="G175" s="14">
        <v>7.8951084900000001</v>
      </c>
      <c r="H175" s="8" t="s">
        <v>22</v>
      </c>
      <c r="I175" s="14">
        <v>4.3169870379999997</v>
      </c>
      <c r="J175" s="8" t="s">
        <v>22</v>
      </c>
      <c r="K175" s="11">
        <v>5501.1329320000004</v>
      </c>
      <c r="M175" s="11">
        <v>-19</v>
      </c>
      <c r="O175" s="11">
        <v>168</v>
      </c>
      <c r="Q175" s="1">
        <f t="shared" si="2"/>
        <v>0.36320813709999999</v>
      </c>
      <c r="R175" s="21" t="s">
        <v>409</v>
      </c>
    </row>
    <row r="176" spans="1:18" ht="15.9" customHeight="1" x14ac:dyDescent="0.25">
      <c r="A176" s="11">
        <v>169</v>
      </c>
      <c r="B176" s="12" t="s">
        <v>213</v>
      </c>
      <c r="C176" s="13">
        <v>0.53</v>
      </c>
      <c r="E176" s="14">
        <v>68.683000000000007</v>
      </c>
      <c r="G176" s="14">
        <v>9.1427097320000001</v>
      </c>
      <c r="I176" s="14">
        <v>2.934554012</v>
      </c>
      <c r="J176" s="8" t="s">
        <v>22</v>
      </c>
      <c r="K176" s="11">
        <v>4202.0307290000001</v>
      </c>
      <c r="M176" s="11">
        <v>-12</v>
      </c>
      <c r="O176" s="11">
        <v>169</v>
      </c>
      <c r="Q176" s="1">
        <f t="shared" si="2"/>
        <v>0.3517826262888889</v>
      </c>
      <c r="R176" s="21" t="s">
        <v>410</v>
      </c>
    </row>
    <row r="177" spans="1:18" ht="15.9" customHeight="1" x14ac:dyDescent="0.25">
      <c r="A177" s="11">
        <v>170</v>
      </c>
      <c r="B177" s="12" t="s">
        <v>214</v>
      </c>
      <c r="C177" s="13">
        <v>0.52400000000000002</v>
      </c>
      <c r="E177" s="14">
        <v>65.86</v>
      </c>
      <c r="G177" s="14">
        <v>8.9778996860000007</v>
      </c>
      <c r="H177" s="8" t="s">
        <v>175</v>
      </c>
      <c r="I177" s="14">
        <v>4.6747271540000002</v>
      </c>
      <c r="J177" s="8" t="s">
        <v>175</v>
      </c>
      <c r="K177" s="11">
        <v>2812.0176019999999</v>
      </c>
      <c r="M177" s="11">
        <v>1</v>
      </c>
      <c r="O177" s="11">
        <v>170</v>
      </c>
      <c r="Q177" s="1">
        <f t="shared" si="2"/>
        <v>0.40521034085555563</v>
      </c>
      <c r="R177" s="21" t="s">
        <v>411</v>
      </c>
    </row>
    <row r="178" spans="1:18" ht="15.9" customHeight="1" x14ac:dyDescent="0.25">
      <c r="A178" s="11">
        <v>171</v>
      </c>
      <c r="B178" s="12" t="s">
        <v>215</v>
      </c>
      <c r="C178" s="13">
        <v>0.52200000000000002</v>
      </c>
      <c r="E178" s="14">
        <v>61.895000000000003</v>
      </c>
      <c r="G178" s="14">
        <v>10.911473859999999</v>
      </c>
      <c r="H178" s="8" t="s">
        <v>22</v>
      </c>
      <c r="I178" s="14">
        <v>7.3785610860000004</v>
      </c>
      <c r="J178" s="8" t="s">
        <v>20</v>
      </c>
      <c r="K178" s="11">
        <v>1431.0479310000001</v>
      </c>
      <c r="M178" s="11">
        <v>17</v>
      </c>
      <c r="O178" s="11">
        <v>172</v>
      </c>
      <c r="Q178" s="1">
        <f t="shared" si="2"/>
        <v>0.54904853231111117</v>
      </c>
      <c r="R178" s="21" t="s">
        <v>412</v>
      </c>
    </row>
    <row r="179" spans="1:18" ht="15.9" customHeight="1" x14ac:dyDescent="0.25">
      <c r="A179" s="11">
        <v>172</v>
      </c>
      <c r="B179" s="12" t="s">
        <v>216</v>
      </c>
      <c r="C179" s="13">
        <v>0.51700000000000002</v>
      </c>
      <c r="E179" s="14">
        <v>67.352999999999994</v>
      </c>
      <c r="G179" s="14">
        <v>9.9025917050000007</v>
      </c>
      <c r="I179" s="14">
        <v>5.2437400820000004</v>
      </c>
      <c r="J179" s="8" t="s">
        <v>88</v>
      </c>
      <c r="K179" s="11">
        <v>1633.6926149999999</v>
      </c>
      <c r="M179" s="11">
        <v>12</v>
      </c>
      <c r="O179" s="11">
        <v>173</v>
      </c>
      <c r="Q179" s="1">
        <f t="shared" si="2"/>
        <v>0.44986332787222227</v>
      </c>
      <c r="R179" s="21" t="s">
        <v>413</v>
      </c>
    </row>
    <row r="180" spans="1:18" ht="15.9" customHeight="1" x14ac:dyDescent="0.25">
      <c r="A180" s="11">
        <v>173</v>
      </c>
      <c r="B180" s="12" t="s">
        <v>217</v>
      </c>
      <c r="C180" s="13">
        <v>0.51500000000000001</v>
      </c>
      <c r="E180" s="14">
        <v>60.774000000000001</v>
      </c>
      <c r="G180" s="14">
        <v>10.446479800000001</v>
      </c>
      <c r="I180" s="14">
        <v>3.194200039</v>
      </c>
      <c r="K180" s="11">
        <v>3805.5275160000001</v>
      </c>
      <c r="M180" s="11">
        <v>-13</v>
      </c>
      <c r="O180" s="11">
        <v>174</v>
      </c>
      <c r="Q180" s="1">
        <f t="shared" si="2"/>
        <v>0.39665332907777784</v>
      </c>
      <c r="R180" s="21" t="s">
        <v>414</v>
      </c>
    </row>
    <row r="181" spans="1:18" ht="15.9" customHeight="1" x14ac:dyDescent="0.25">
      <c r="A181" s="11">
        <v>174</v>
      </c>
      <c r="B181" s="12" t="s">
        <v>218</v>
      </c>
      <c r="C181" s="13">
        <v>0.51400000000000001</v>
      </c>
      <c r="E181" s="14">
        <v>64.084999999999994</v>
      </c>
      <c r="G181" s="14">
        <v>10.63534621</v>
      </c>
      <c r="H181" s="8" t="s">
        <v>102</v>
      </c>
      <c r="I181" s="14">
        <v>3.673035</v>
      </c>
      <c r="K181" s="11">
        <v>2403.0592369999999</v>
      </c>
      <c r="M181" s="11">
        <v>2</v>
      </c>
      <c r="O181" s="11">
        <v>175</v>
      </c>
      <c r="Q181" s="1">
        <f t="shared" si="2"/>
        <v>0.41786078361111112</v>
      </c>
      <c r="R181" s="21" t="s">
        <v>415</v>
      </c>
    </row>
    <row r="182" spans="1:18" ht="15.9" customHeight="1" x14ac:dyDescent="0.25">
      <c r="A182" s="11">
        <v>175</v>
      </c>
      <c r="B182" s="12" t="s">
        <v>219</v>
      </c>
      <c r="C182" s="13">
        <v>0.51300000000000001</v>
      </c>
      <c r="E182" s="14">
        <v>65.986999999999995</v>
      </c>
      <c r="G182" s="14">
        <v>6.2073500160000004</v>
      </c>
      <c r="H182" s="8" t="s">
        <v>22</v>
      </c>
      <c r="I182" s="14">
        <v>3.9504150299999998</v>
      </c>
      <c r="J182" s="8" t="s">
        <v>107</v>
      </c>
      <c r="K182" s="11">
        <v>6367.6060260000004</v>
      </c>
      <c r="M182" s="11">
        <v>-36</v>
      </c>
      <c r="O182" s="11">
        <v>176</v>
      </c>
      <c r="Q182" s="1">
        <f t="shared" si="2"/>
        <v>0.30410689033333338</v>
      </c>
      <c r="R182" s="21" t="s">
        <v>416</v>
      </c>
    </row>
    <row r="183" spans="1:18" ht="15.9" customHeight="1" x14ac:dyDescent="0.25">
      <c r="A183" s="11">
        <v>176</v>
      </c>
      <c r="B183" s="12" t="s">
        <v>220</v>
      </c>
      <c r="C183" s="13">
        <v>0.51100000000000001</v>
      </c>
      <c r="E183" s="14">
        <v>66.331000000000003</v>
      </c>
      <c r="G183" s="14">
        <v>8.6203718780000003</v>
      </c>
      <c r="H183" s="8" t="s">
        <v>22</v>
      </c>
      <c r="I183" s="14">
        <v>3.9620000000000002</v>
      </c>
      <c r="K183" s="11">
        <v>2810.3120119999999</v>
      </c>
      <c r="M183" s="11">
        <v>-4</v>
      </c>
      <c r="O183" s="11">
        <v>171</v>
      </c>
      <c r="Q183" s="1">
        <f t="shared" si="2"/>
        <v>0.37152144105555557</v>
      </c>
      <c r="R183" s="21" t="s">
        <v>417</v>
      </c>
    </row>
    <row r="184" spans="1:18" ht="15.9" customHeight="1" x14ac:dyDescent="0.25">
      <c r="A184" s="11">
        <v>177</v>
      </c>
      <c r="B184" s="12" t="s">
        <v>221</v>
      </c>
      <c r="C184" s="13">
        <v>0.51</v>
      </c>
      <c r="E184" s="14">
        <v>62.162999999999997</v>
      </c>
      <c r="G184" s="14">
        <v>10.465853689999999</v>
      </c>
      <c r="I184" s="14">
        <v>6.1698919549999998</v>
      </c>
      <c r="J184" s="8" t="s">
        <v>22</v>
      </c>
      <c r="K184" s="11">
        <v>1537.8593900000001</v>
      </c>
      <c r="M184" s="11">
        <v>9</v>
      </c>
      <c r="O184" s="11">
        <v>177</v>
      </c>
      <c r="Q184" s="1">
        <f t="shared" si="2"/>
        <v>0.49638122322222222</v>
      </c>
      <c r="R184" s="21" t="s">
        <v>418</v>
      </c>
    </row>
    <row r="185" spans="1:18" ht="15.9" customHeight="1" x14ac:dyDescent="0.25">
      <c r="A185" s="11">
        <v>178</v>
      </c>
      <c r="B185" s="12" t="s">
        <v>222</v>
      </c>
      <c r="C185" s="13">
        <v>0.503</v>
      </c>
      <c r="E185" s="14">
        <v>68.623999999999995</v>
      </c>
      <c r="G185" s="14">
        <v>7.3366722969999998</v>
      </c>
      <c r="H185" s="8" t="s">
        <v>22</v>
      </c>
      <c r="I185" s="14">
        <v>5.0913644199999997</v>
      </c>
      <c r="J185" s="8" t="s">
        <v>85</v>
      </c>
      <c r="K185" s="11">
        <v>2029.070062</v>
      </c>
      <c r="M185" s="11">
        <v>1</v>
      </c>
      <c r="O185" s="11">
        <v>178</v>
      </c>
      <c r="Q185" s="1">
        <f t="shared" si="2"/>
        <v>0.37350860002777775</v>
      </c>
      <c r="R185" s="21" t="s">
        <v>419</v>
      </c>
    </row>
    <row r="186" spans="1:18" ht="15.9" customHeight="1" x14ac:dyDescent="0.25">
      <c r="A186" s="11">
        <v>179</v>
      </c>
      <c r="B186" s="12" t="s">
        <v>223</v>
      </c>
      <c r="C186" s="13">
        <v>0.5</v>
      </c>
      <c r="E186" s="14">
        <v>60.74</v>
      </c>
      <c r="G186" s="14">
        <v>10.393306259999999</v>
      </c>
      <c r="H186" s="8" t="s">
        <v>22</v>
      </c>
      <c r="I186" s="14">
        <v>2.4863390249999999</v>
      </c>
      <c r="J186" s="8" t="s">
        <v>22</v>
      </c>
      <c r="K186" s="11">
        <v>3494.3477229999999</v>
      </c>
      <c r="M186" s="11">
        <v>-16</v>
      </c>
      <c r="O186" s="11">
        <v>179</v>
      </c>
      <c r="Q186" s="1">
        <f t="shared" si="2"/>
        <v>0.37158091916666663</v>
      </c>
      <c r="R186" s="21" t="s">
        <v>420</v>
      </c>
    </row>
    <row r="187" spans="1:18" ht="15.9" customHeight="1" x14ac:dyDescent="0.25">
      <c r="A187" s="11">
        <v>180</v>
      </c>
      <c r="B187" s="12" t="s">
        <v>224</v>
      </c>
      <c r="C187" s="13">
        <v>0.497</v>
      </c>
      <c r="E187" s="14">
        <v>67.314999999999998</v>
      </c>
      <c r="G187" s="14">
        <v>9.2176515709999993</v>
      </c>
      <c r="H187" s="8" t="s">
        <v>175</v>
      </c>
      <c r="I187" s="14">
        <v>2.4025398130000002</v>
      </c>
      <c r="J187" s="8" t="s">
        <v>22</v>
      </c>
      <c r="K187" s="11">
        <v>2795.5069840000001</v>
      </c>
      <c r="M187" s="11">
        <v>-7</v>
      </c>
      <c r="O187" s="11">
        <v>181</v>
      </c>
      <c r="Q187" s="1">
        <f t="shared" si="2"/>
        <v>0.33613053740555554</v>
      </c>
      <c r="R187" s="21" t="s">
        <v>421</v>
      </c>
    </row>
    <row r="188" spans="1:18" ht="15.9" customHeight="1" x14ac:dyDescent="0.25">
      <c r="A188" s="11">
        <v>181</v>
      </c>
      <c r="B188" s="12" t="s">
        <v>225</v>
      </c>
      <c r="C188" s="13">
        <v>0.496</v>
      </c>
      <c r="E188" s="14">
        <v>66.034999999999997</v>
      </c>
      <c r="G188" s="14">
        <v>10.790143240000001</v>
      </c>
      <c r="H188" s="8" t="s">
        <v>22</v>
      </c>
      <c r="I188" s="14">
        <v>2.514790058</v>
      </c>
      <c r="K188" s="11">
        <v>1971.549458</v>
      </c>
      <c r="M188" s="11">
        <v>-1</v>
      </c>
      <c r="O188" s="11">
        <v>180</v>
      </c>
      <c r="Q188" s="1">
        <f t="shared" si="2"/>
        <v>0.38355253637777781</v>
      </c>
      <c r="R188" s="21" t="s">
        <v>422</v>
      </c>
    </row>
    <row r="189" spans="1:18" ht="15.9" customHeight="1" x14ac:dyDescent="0.25">
      <c r="A189" s="11">
        <v>182</v>
      </c>
      <c r="B189" s="12" t="s">
        <v>226</v>
      </c>
      <c r="C189" s="13">
        <v>0.49299999999999999</v>
      </c>
      <c r="E189" s="14">
        <v>63.610999999999997</v>
      </c>
      <c r="G189" s="14">
        <v>10.84830885</v>
      </c>
      <c r="H189" s="8" t="s">
        <v>22</v>
      </c>
      <c r="I189" s="14">
        <v>4.5904898640000003</v>
      </c>
      <c r="K189" s="11">
        <v>1355.7670760000001</v>
      </c>
      <c r="M189" s="11">
        <v>7</v>
      </c>
      <c r="O189" s="11">
        <v>182</v>
      </c>
      <c r="Q189" s="1">
        <f t="shared" si="2"/>
        <v>0.45435824130000002</v>
      </c>
      <c r="R189" s="21" t="s">
        <v>423</v>
      </c>
    </row>
    <row r="190" spans="1:18" ht="15.9" customHeight="1" x14ac:dyDescent="0.25">
      <c r="A190" s="11">
        <v>183</v>
      </c>
      <c r="B190" s="12" t="s">
        <v>227</v>
      </c>
      <c r="C190" s="13">
        <v>0.48699999999999999</v>
      </c>
      <c r="E190" s="14">
        <v>63.631999999999998</v>
      </c>
      <c r="G190" s="14">
        <v>9.0625845030000001</v>
      </c>
      <c r="H190" s="8" t="s">
        <v>22</v>
      </c>
      <c r="I190" s="14">
        <v>4.5925202369999996</v>
      </c>
      <c r="K190" s="11">
        <v>1655.7646830000001</v>
      </c>
      <c r="M190" s="11">
        <v>0</v>
      </c>
      <c r="O190" s="11">
        <v>183</v>
      </c>
      <c r="Q190" s="1">
        <f t="shared" si="2"/>
        <v>0.40482246631666663</v>
      </c>
      <c r="R190" s="21" t="s">
        <v>424</v>
      </c>
    </row>
    <row r="191" spans="1:18" ht="15.9" customHeight="1" x14ac:dyDescent="0.25">
      <c r="A191" s="11">
        <v>184</v>
      </c>
      <c r="B191" s="12" t="s">
        <v>228</v>
      </c>
      <c r="C191" s="13">
        <v>0.47</v>
      </c>
      <c r="E191" s="14">
        <v>69.295000000000002</v>
      </c>
      <c r="G191" s="14">
        <v>7.4949027350000001</v>
      </c>
      <c r="H191" s="8" t="s">
        <v>107</v>
      </c>
      <c r="I191" s="14">
        <v>5.4841499330000003</v>
      </c>
      <c r="K191" s="11">
        <v>1018.2005799999999</v>
      </c>
      <c r="M191" s="11">
        <v>7</v>
      </c>
      <c r="O191" s="11">
        <v>184</v>
      </c>
      <c r="Q191" s="1">
        <f t="shared" si="2"/>
        <v>0.39099674040555554</v>
      </c>
      <c r="R191" s="21" t="s">
        <v>425</v>
      </c>
    </row>
    <row r="192" spans="1:18" ht="15.9" customHeight="1" x14ac:dyDescent="0.25">
      <c r="A192" s="11">
        <v>185</v>
      </c>
      <c r="B192" s="12" t="s">
        <v>229</v>
      </c>
      <c r="C192" s="13">
        <v>0.46700000000000003</v>
      </c>
      <c r="E192" s="14">
        <v>61.786000000000001</v>
      </c>
      <c r="G192" s="14">
        <v>9.0641245749999992</v>
      </c>
      <c r="H192" s="8" t="s">
        <v>102</v>
      </c>
      <c r="I192" s="14">
        <v>3.5352976090000001</v>
      </c>
      <c r="J192" s="8" t="s">
        <v>22</v>
      </c>
      <c r="K192" s="11">
        <v>1713.727772</v>
      </c>
      <c r="M192" s="11">
        <v>-3</v>
      </c>
      <c r="O192" s="11">
        <v>185</v>
      </c>
      <c r="Q192" s="1">
        <f t="shared" si="2"/>
        <v>0.36962449182777779</v>
      </c>
      <c r="R192" s="21" t="s">
        <v>426</v>
      </c>
    </row>
    <row r="193" spans="1:18" ht="15.9" customHeight="1" x14ac:dyDescent="0.25">
      <c r="A193" s="11">
        <v>186</v>
      </c>
      <c r="B193" s="12" t="s">
        <v>230</v>
      </c>
      <c r="C193" s="13">
        <v>0.45900000000000002</v>
      </c>
      <c r="E193" s="14">
        <v>61.091999999999999</v>
      </c>
      <c r="G193" s="14">
        <v>8.7333402630000005</v>
      </c>
      <c r="I193" s="14">
        <v>2.266550064</v>
      </c>
      <c r="K193" s="11">
        <v>2390.5277780000001</v>
      </c>
      <c r="M193" s="11">
        <v>-9</v>
      </c>
      <c r="O193" s="11">
        <v>186</v>
      </c>
      <c r="Q193" s="1">
        <f t="shared" si="2"/>
        <v>0.31814445388333334</v>
      </c>
      <c r="R193" s="21" t="s">
        <v>427</v>
      </c>
    </row>
    <row r="194" spans="1:18" ht="15.9" customHeight="1" x14ac:dyDescent="0.25">
      <c r="A194" s="11">
        <v>187</v>
      </c>
      <c r="B194" s="12" t="s">
        <v>231</v>
      </c>
      <c r="C194" s="13">
        <v>0.439</v>
      </c>
      <c r="E194" s="14">
        <v>63.651000000000003</v>
      </c>
      <c r="G194" s="14">
        <v>9.8294238790000001</v>
      </c>
      <c r="H194" s="8" t="s">
        <v>22</v>
      </c>
      <c r="I194" s="14">
        <v>3.4739355559999998</v>
      </c>
      <c r="J194" s="8" t="s">
        <v>22</v>
      </c>
      <c r="K194" s="11">
        <v>858.91556809999997</v>
      </c>
      <c r="M194" s="11">
        <v>5</v>
      </c>
      <c r="O194" s="11">
        <v>187</v>
      </c>
      <c r="Q194" s="1">
        <f t="shared" si="2"/>
        <v>0.38883740406111111</v>
      </c>
      <c r="R194" s="21" t="s">
        <v>428</v>
      </c>
    </row>
    <row r="195" spans="1:18" ht="15.9" customHeight="1" x14ac:dyDescent="0.25">
      <c r="A195" s="11">
        <v>188</v>
      </c>
      <c r="B195" s="12" t="s">
        <v>232</v>
      </c>
      <c r="C195" s="13">
        <v>0.41899999999999998</v>
      </c>
      <c r="E195" s="14">
        <v>60.439</v>
      </c>
      <c r="G195" s="14">
        <v>7.0113315329999999</v>
      </c>
      <c r="H195" s="8" t="s">
        <v>22</v>
      </c>
      <c r="I195" s="14">
        <v>1.6299999949999999</v>
      </c>
      <c r="J195" s="8" t="s">
        <v>88</v>
      </c>
      <c r="K195" s="11">
        <v>2341.5881180000001</v>
      </c>
      <c r="M195" s="11">
        <v>-10</v>
      </c>
      <c r="O195" s="11">
        <v>188</v>
      </c>
      <c r="Q195" s="1">
        <f t="shared" si="2"/>
        <v>0.24909254241666667</v>
      </c>
      <c r="R195" s="21" t="s">
        <v>429</v>
      </c>
    </row>
    <row r="196" spans="1:18" ht="15.9" customHeight="1" x14ac:dyDescent="0.25">
      <c r="A196" s="11">
        <v>188</v>
      </c>
      <c r="B196" s="12" t="s">
        <v>233</v>
      </c>
      <c r="C196" s="13">
        <v>0.41899999999999998</v>
      </c>
      <c r="E196" s="14">
        <v>61.183</v>
      </c>
      <c r="G196" s="14">
        <v>8.308919801</v>
      </c>
      <c r="H196" s="8" t="s">
        <v>22</v>
      </c>
      <c r="I196" s="14">
        <v>1.4122893409999999</v>
      </c>
      <c r="J196" s="8" t="s">
        <v>20</v>
      </c>
      <c r="K196" s="11">
        <v>1590.18796</v>
      </c>
      <c r="M196" s="11">
        <v>-3</v>
      </c>
      <c r="O196" s="11">
        <v>189</v>
      </c>
      <c r="Q196" s="1">
        <f t="shared" si="2"/>
        <v>0.27787963917222225</v>
      </c>
      <c r="R196" s="21" t="s">
        <v>430</v>
      </c>
    </row>
    <row r="197" spans="1:18" ht="15.9" customHeight="1" x14ac:dyDescent="0.25">
      <c r="A197" s="11">
        <v>190</v>
      </c>
      <c r="B197" s="12" t="s">
        <v>234</v>
      </c>
      <c r="C197" s="13">
        <v>0.41599999999999998</v>
      </c>
      <c r="E197" s="14">
        <v>55.069000000000003</v>
      </c>
      <c r="G197" s="14">
        <v>8.3475902309999999</v>
      </c>
      <c r="H197" s="8" t="s">
        <v>22</v>
      </c>
      <c r="I197" s="14">
        <v>2.334984892</v>
      </c>
      <c r="J197" s="8" t="s">
        <v>22</v>
      </c>
      <c r="K197" s="11">
        <v>1748.000992</v>
      </c>
      <c r="M197" s="11">
        <v>-9</v>
      </c>
      <c r="O197" s="11">
        <v>189</v>
      </c>
      <c r="Q197" s="1">
        <f t="shared" si="2"/>
        <v>0.30971033614999999</v>
      </c>
      <c r="R197" s="21" t="s">
        <v>431</v>
      </c>
    </row>
    <row r="198" spans="1:18" ht="15.9" customHeight="1" x14ac:dyDescent="0.25">
      <c r="A198" s="11">
        <v>191</v>
      </c>
      <c r="B198" s="12" t="s">
        <v>235</v>
      </c>
      <c r="C198" s="13">
        <v>0.41399999999999998</v>
      </c>
      <c r="E198" s="14">
        <v>57.408000000000001</v>
      </c>
      <c r="G198" s="14">
        <v>7.4357677779999998</v>
      </c>
      <c r="H198" s="8" t="s">
        <v>22</v>
      </c>
      <c r="I198" s="14">
        <v>3.989431459</v>
      </c>
      <c r="J198" s="8" t="s">
        <v>20</v>
      </c>
      <c r="K198" s="11">
        <v>1099.8606810000001</v>
      </c>
      <c r="M198" s="11">
        <v>-1</v>
      </c>
      <c r="O198" s="11" t="s">
        <v>236</v>
      </c>
      <c r="Q198" s="1">
        <f t="shared" ref="Q198:Q200" si="3">0.5*(MIN(G198,18)/18)+0.5*(MIN(I198,15)/15)</f>
        <v>0.33953015357777777</v>
      </c>
      <c r="R198" s="21" t="s">
        <v>432</v>
      </c>
    </row>
    <row r="199" spans="1:18" ht="15.9" customHeight="1" x14ac:dyDescent="0.25">
      <c r="A199" s="11">
        <v>192</v>
      </c>
      <c r="B199" s="12" t="s">
        <v>237</v>
      </c>
      <c r="C199" s="13">
        <v>0.40400000000000003</v>
      </c>
      <c r="E199" s="14">
        <v>58.816000000000003</v>
      </c>
      <c r="G199" s="14">
        <v>7.4861651619999998</v>
      </c>
      <c r="H199" s="8" t="s">
        <v>112</v>
      </c>
      <c r="I199" s="14">
        <v>1.8999999759999999</v>
      </c>
      <c r="K199" s="11">
        <v>1474.7384589999999</v>
      </c>
      <c r="M199" s="11">
        <v>-5</v>
      </c>
      <c r="O199" s="11">
        <v>192</v>
      </c>
      <c r="Q199" s="1">
        <f t="shared" si="3"/>
        <v>0.27128236481111112</v>
      </c>
      <c r="R199" s="21" t="s">
        <v>433</v>
      </c>
    </row>
    <row r="200" spans="1:18" ht="15.9" customHeight="1" x14ac:dyDescent="0.25">
      <c r="A200" s="11">
        <v>193</v>
      </c>
      <c r="B200" s="12" t="s">
        <v>238</v>
      </c>
      <c r="C200" s="13">
        <v>0.38800000000000001</v>
      </c>
      <c r="E200" s="14">
        <v>57.616999999999997</v>
      </c>
      <c r="G200" s="14">
        <v>5.6347701409999997</v>
      </c>
      <c r="H200" s="8" t="s">
        <v>22</v>
      </c>
      <c r="I200" s="14">
        <v>5.7300000190000002</v>
      </c>
      <c r="J200" s="8" t="s">
        <v>239</v>
      </c>
      <c r="K200" s="11">
        <v>688.34727710000004</v>
      </c>
      <c r="M200" s="11">
        <v>0</v>
      </c>
      <c r="O200" s="11">
        <v>191</v>
      </c>
      <c r="Q200" s="1">
        <f t="shared" si="3"/>
        <v>0.34752139343888888</v>
      </c>
      <c r="R200" s="21" t="s">
        <v>434</v>
      </c>
    </row>
    <row r="201" spans="1:18" ht="13.8" x14ac:dyDescent="0.25">
      <c r="B201" s="9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 spans="1:18" ht="13.5" customHeight="1" x14ac:dyDescent="0.25">
      <c r="B202" s="12"/>
      <c r="C202" s="15"/>
      <c r="E202" s="14"/>
      <c r="G202" s="14"/>
      <c r="H202" s="8"/>
      <c r="I202" s="15"/>
      <c r="K202" s="15"/>
      <c r="M202" s="15"/>
      <c r="O202" s="15"/>
    </row>
    <row r="203" spans="1:18" ht="13.5" customHeight="1" x14ac:dyDescent="0.25">
      <c r="B203" s="12"/>
      <c r="C203" s="15"/>
      <c r="E203" s="14"/>
      <c r="F203" s="8"/>
      <c r="G203" s="14"/>
      <c r="H203" s="8"/>
      <c r="I203" s="15"/>
      <c r="K203" s="15"/>
      <c r="M203" s="15"/>
      <c r="O203" s="15"/>
    </row>
    <row r="204" spans="1:18" ht="13.5" customHeight="1" x14ac:dyDescent="0.25">
      <c r="B204" s="12"/>
      <c r="C204" s="15"/>
      <c r="E204" s="14"/>
      <c r="F204" s="8"/>
      <c r="G204" s="14"/>
      <c r="H204" s="8"/>
      <c r="I204" s="15"/>
      <c r="K204" s="15"/>
      <c r="M204" s="11"/>
      <c r="O204" s="15"/>
    </row>
    <row r="205" spans="1:18" ht="13.8" x14ac:dyDescent="0.25"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 spans="1:18" ht="13.8" x14ac:dyDescent="0.25">
      <c r="B206" s="12"/>
      <c r="C206" s="13"/>
      <c r="E206" s="14"/>
      <c r="G206" s="14"/>
      <c r="I206" s="14"/>
      <c r="K206" s="11"/>
      <c r="M206" s="15"/>
      <c r="O206" s="15"/>
    </row>
    <row r="207" spans="1:18" ht="13.8" x14ac:dyDescent="0.25">
      <c r="B207" s="12"/>
      <c r="C207" s="13"/>
      <c r="E207" s="14"/>
      <c r="G207" s="14"/>
      <c r="I207" s="14"/>
      <c r="K207" s="11"/>
      <c r="M207" s="15"/>
      <c r="O207" s="15"/>
    </row>
    <row r="208" spans="1:18" ht="13.8" x14ac:dyDescent="0.25">
      <c r="B208" s="12"/>
      <c r="C208" s="13"/>
      <c r="E208" s="14"/>
      <c r="G208" s="14"/>
      <c r="I208" s="14"/>
      <c r="K208" s="11"/>
      <c r="M208" s="15"/>
      <c r="O208" s="15"/>
    </row>
    <row r="209" spans="2:16" ht="13.8" x14ac:dyDescent="0.25">
      <c r="B209" s="12"/>
      <c r="C209" s="13"/>
      <c r="E209" s="14"/>
      <c r="G209" s="14"/>
      <c r="I209" s="14"/>
      <c r="K209" s="11"/>
      <c r="M209" s="15"/>
      <c r="O209" s="15"/>
    </row>
    <row r="210" spans="2:16" ht="13.8" x14ac:dyDescent="0.25">
      <c r="B210" s="12"/>
      <c r="C210" s="13"/>
      <c r="E210" s="14"/>
      <c r="G210" s="14"/>
      <c r="I210" s="14"/>
      <c r="K210" s="11"/>
      <c r="M210" s="15"/>
      <c r="O210" s="15"/>
    </row>
    <row r="211" spans="2:16" ht="13.8" x14ac:dyDescent="0.25">
      <c r="B211" s="2"/>
      <c r="C211" s="13"/>
      <c r="E211" s="14"/>
      <c r="G211" s="14"/>
      <c r="I211" s="14"/>
      <c r="K211" s="11"/>
      <c r="M211" s="15"/>
      <c r="O211" s="15"/>
    </row>
    <row r="212" spans="2:16" ht="13.8" x14ac:dyDescent="0.25">
      <c r="B212" s="2"/>
      <c r="C212" s="13"/>
      <c r="E212" s="14"/>
      <c r="G212" s="14"/>
      <c r="I212" s="14"/>
      <c r="K212" s="11"/>
      <c r="M212" s="15"/>
      <c r="O212" s="15"/>
    </row>
    <row r="213" spans="2:16" ht="13.8" x14ac:dyDescent="0.25"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 spans="2:16" ht="13.8" x14ac:dyDescent="0.25">
      <c r="B214" s="12"/>
      <c r="C214" s="13"/>
      <c r="E214" s="14"/>
      <c r="G214" s="14"/>
      <c r="I214" s="14"/>
      <c r="K214" s="11"/>
      <c r="M214" s="15"/>
      <c r="O214" s="15"/>
    </row>
    <row r="215" spans="2:16" ht="13.8" x14ac:dyDescent="0.25">
      <c r="B215" s="12"/>
      <c r="C215" s="13"/>
      <c r="E215" s="14"/>
      <c r="G215" s="14"/>
      <c r="I215" s="14"/>
      <c r="K215" s="11"/>
      <c r="M215" s="15"/>
      <c r="O215" s="15"/>
    </row>
    <row r="216" spans="2:16" ht="13.8" x14ac:dyDescent="0.25">
      <c r="B216" s="12"/>
      <c r="C216" s="13"/>
      <c r="E216" s="14"/>
      <c r="G216" s="14"/>
      <c r="I216" s="14"/>
      <c r="K216" s="11"/>
      <c r="M216" s="15"/>
      <c r="O216" s="15"/>
    </row>
    <row r="217" spans="2:16" ht="13.8" x14ac:dyDescent="0.25">
      <c r="B217" s="12"/>
      <c r="C217" s="13"/>
      <c r="E217" s="14"/>
      <c r="G217" s="14"/>
      <c r="I217" s="14"/>
      <c r="K217" s="11"/>
      <c r="M217" s="15"/>
      <c r="O217" s="15"/>
    </row>
    <row r="218" spans="2:16" ht="13.8" x14ac:dyDescent="0.25">
      <c r="B218" s="12"/>
      <c r="C218" s="13"/>
      <c r="E218" s="14"/>
      <c r="G218" s="14"/>
      <c r="I218" s="14"/>
      <c r="K218" s="11"/>
      <c r="M218" s="15"/>
      <c r="O218" s="15"/>
    </row>
    <row r="219" spans="2:16" ht="13.8" x14ac:dyDescent="0.25">
      <c r="B219" s="12"/>
      <c r="C219" s="13"/>
      <c r="E219" s="14"/>
      <c r="G219" s="14"/>
      <c r="I219" s="14"/>
      <c r="K219" s="11"/>
      <c r="M219" s="15"/>
      <c r="O219" s="15"/>
    </row>
    <row r="220" spans="2:16" ht="13.8" x14ac:dyDescent="0.25">
      <c r="B220" s="12"/>
      <c r="C220" s="13"/>
      <c r="E220" s="14"/>
      <c r="G220" s="14"/>
      <c r="I220" s="14"/>
      <c r="K220" s="11"/>
      <c r="M220" s="15"/>
      <c r="O220" s="15"/>
    </row>
    <row r="221" spans="2:16" ht="13.8" x14ac:dyDescent="0.25">
      <c r="B221" s="2"/>
      <c r="C221" s="13"/>
      <c r="E221" s="14"/>
      <c r="G221" s="14"/>
      <c r="I221" s="14"/>
      <c r="K221" s="11"/>
      <c r="M221" s="15"/>
      <c r="O221" s="15"/>
    </row>
    <row r="222" spans="2:16" ht="13.8" x14ac:dyDescent="0.25">
      <c r="B222" s="16"/>
      <c r="C222" s="13"/>
      <c r="E222" s="14"/>
      <c r="G222" s="14"/>
      <c r="I222" s="14"/>
      <c r="K222" s="11"/>
      <c r="M222" s="15"/>
      <c r="O222" s="15"/>
    </row>
    <row r="223" spans="2:16" ht="13.8" x14ac:dyDescent="0.25">
      <c r="B223" s="16"/>
      <c r="C223" s="13"/>
      <c r="E223" s="14"/>
      <c r="G223" s="14"/>
      <c r="I223" s="14"/>
      <c r="K223" s="11"/>
      <c r="M223" s="15"/>
      <c r="O223" s="15"/>
    </row>
    <row r="224" spans="2:16" ht="13.8" x14ac:dyDescent="0.25">
      <c r="B224" s="17"/>
      <c r="C224" s="13"/>
      <c r="E224" s="14"/>
      <c r="G224" s="14"/>
      <c r="I224" s="14"/>
      <c r="K224" s="11"/>
      <c r="M224" s="15"/>
      <c r="O224" s="15"/>
    </row>
    <row r="225" spans="2:15" ht="13.8" x14ac:dyDescent="0.25">
      <c r="B225" s="17"/>
      <c r="C225" s="13"/>
      <c r="E225" s="14"/>
      <c r="G225" s="14"/>
      <c r="I225" s="14"/>
      <c r="K225" s="11"/>
      <c r="M225" s="15"/>
      <c r="O225" s="15"/>
    </row>
    <row r="226" spans="2:15" ht="13.8" x14ac:dyDescent="0.25">
      <c r="B226" s="18"/>
      <c r="C226" s="13"/>
      <c r="E226" s="14"/>
      <c r="G226" s="14"/>
      <c r="I226" s="14"/>
      <c r="K226" s="11"/>
      <c r="M226" s="15"/>
      <c r="O226" s="15"/>
    </row>
    <row r="228" spans="2:15" ht="13.8" x14ac:dyDescent="0.25">
      <c r="B228" s="19"/>
    </row>
    <row r="229" spans="2:15" ht="13.8" x14ac:dyDescent="0.25">
      <c r="B229" s="12"/>
    </row>
    <row r="230" spans="2:15" ht="13.8" x14ac:dyDescent="0.25">
      <c r="B230" s="12"/>
    </row>
    <row r="231" spans="2:15" ht="13.8" x14ac:dyDescent="0.25">
      <c r="B231" s="12"/>
    </row>
    <row r="232" spans="2:15" ht="13.8" x14ac:dyDescent="0.25">
      <c r="B232" s="12"/>
    </row>
    <row r="233" spans="2:15" ht="13.8" x14ac:dyDescent="0.25">
      <c r="B233" s="12"/>
    </row>
    <row r="234" spans="2:15" ht="13.8" x14ac:dyDescent="0.25">
      <c r="B234" s="12"/>
    </row>
    <row r="235" spans="2:15" ht="13.8" x14ac:dyDescent="0.25">
      <c r="B235" s="12"/>
    </row>
    <row r="236" spans="2:15" ht="13.8" x14ac:dyDescent="0.25">
      <c r="B236" s="12"/>
    </row>
    <row r="237" spans="2:15" ht="13.8" x14ac:dyDescent="0.25">
      <c r="B237" s="12"/>
    </row>
    <row r="238" spans="2:15" ht="13.8" x14ac:dyDescent="0.25">
      <c r="B238" s="12"/>
    </row>
    <row r="239" spans="2:15" ht="13.8" x14ac:dyDescent="0.25">
      <c r="B239" s="12"/>
    </row>
    <row r="240" spans="2:15" ht="13.8" x14ac:dyDescent="0.25">
      <c r="B240" s="12"/>
    </row>
    <row r="241" spans="2:2" ht="13.8" x14ac:dyDescent="0.25">
      <c r="B241" s="12"/>
    </row>
    <row r="242" spans="2:2" ht="13.8" x14ac:dyDescent="0.25">
      <c r="B242" s="12"/>
    </row>
    <row r="243" spans="2:2" ht="13.8" x14ac:dyDescent="0.25">
      <c r="B243" s="12"/>
    </row>
    <row r="244" spans="2:2" ht="13.8" x14ac:dyDescent="0.25">
      <c r="B244" s="12"/>
    </row>
    <row r="245" spans="2:2" ht="13.8" x14ac:dyDescent="0.25">
      <c r="B245" s="12"/>
    </row>
    <row r="246" spans="2:2" ht="13.8" x14ac:dyDescent="0.25">
      <c r="B246" s="12"/>
    </row>
    <row r="247" spans="2:2" ht="13.8" x14ac:dyDescent="0.25">
      <c r="B247" s="12"/>
    </row>
    <row r="248" spans="2:2" ht="13.8" x14ac:dyDescent="0.25">
      <c r="B248" s="12"/>
    </row>
    <row r="249" spans="2:2" ht="13.8" x14ac:dyDescent="0.25">
      <c r="B249" s="12"/>
    </row>
    <row r="250" spans="2:2" ht="13.8" x14ac:dyDescent="0.25">
      <c r="B250" s="12"/>
    </row>
    <row r="251" spans="2:2" ht="13.8" x14ac:dyDescent="0.25">
      <c r="B251" s="12"/>
    </row>
    <row r="252" spans="2:2" ht="13.8" x14ac:dyDescent="0.25">
      <c r="B252" s="12"/>
    </row>
    <row r="253" spans="2:2" ht="13.8" x14ac:dyDescent="0.25">
      <c r="B253" s="12"/>
    </row>
    <row r="254" spans="2:2" ht="13.8" x14ac:dyDescent="0.25">
      <c r="B254" s="12"/>
    </row>
    <row r="255" spans="2:2" ht="13.8" x14ac:dyDescent="0.25">
      <c r="B255" s="12"/>
    </row>
    <row r="256" spans="2:2" ht="13.8" x14ac:dyDescent="0.25">
      <c r="B256" s="12"/>
    </row>
    <row r="257" spans="2:2" ht="13.8" x14ac:dyDescent="0.25">
      <c r="B257" s="12"/>
    </row>
    <row r="258" spans="2:2" ht="13.8" x14ac:dyDescent="0.25">
      <c r="B258" s="12"/>
    </row>
    <row r="260" spans="2:2" ht="13.8" x14ac:dyDescent="0.25">
      <c r="B260" s="16"/>
    </row>
    <row r="261" spans="2:2" ht="13.8" x14ac:dyDescent="0.25">
      <c r="B261" s="20"/>
    </row>
    <row r="262" spans="2:2" ht="13.8" x14ac:dyDescent="0.25">
      <c r="B262" s="20"/>
    </row>
    <row r="263" spans="2:2" ht="13.8" x14ac:dyDescent="0.25">
      <c r="B263" s="20"/>
    </row>
    <row r="264" spans="2:2" ht="13.8" x14ac:dyDescent="0.25">
      <c r="B264" s="20"/>
    </row>
    <row r="265" spans="2:2" ht="13.8" x14ac:dyDescent="0.25">
      <c r="B265" s="20"/>
    </row>
    <row r="266" spans="2:2" ht="13.8" x14ac:dyDescent="0.25">
      <c r="B266" s="20"/>
    </row>
    <row r="267" spans="2:2" ht="13.8" x14ac:dyDescent="0.25">
      <c r="B267" s="20"/>
    </row>
    <row r="269" spans="2:2" ht="13.8" x14ac:dyDescent="0.25">
      <c r="B269" s="16"/>
    </row>
    <row r="270" spans="2:2" ht="13.8" x14ac:dyDescent="0.25">
      <c r="B270" s="12"/>
    </row>
    <row r="271" spans="2:2" ht="13.8" x14ac:dyDescent="0.25">
      <c r="B271" s="12"/>
    </row>
    <row r="272" spans="2:2" ht="13.8" x14ac:dyDescent="0.25">
      <c r="B272" s="12"/>
    </row>
    <row r="273" spans="2:2" ht="13.8" x14ac:dyDescent="0.25">
      <c r="B273" s="12"/>
    </row>
    <row r="274" spans="2:2" ht="13.8" x14ac:dyDescent="0.25">
      <c r="B274" s="12"/>
    </row>
    <row r="275" spans="2:2" ht="13.8" x14ac:dyDescent="0.25">
      <c r="B275" s="12"/>
    </row>
  </sheetData>
  <pageMargins left="0.75" right="0.75" top="1" bottom="1" header="0.5" footer="0.5"/>
  <pageSetup paperSize="9" firstPageNumber="0" fitToWidth="0" fitToHeight="0" pageOrder="overThenDown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D45DB714643E4A8A8C58D3ECEF2B52" ma:contentTypeVersion="15" ma:contentTypeDescription="Create a new document." ma:contentTypeScope="" ma:versionID="f669b596213e5a051e7725db4fd5b996">
  <xsd:schema xmlns:xsd="http://www.w3.org/2001/XMLSchema" xmlns:xs="http://www.w3.org/2001/XMLSchema" xmlns:p="http://schemas.microsoft.com/office/2006/metadata/properties" xmlns:ns2="b0611ad7-5071-45af-a141-b2a079deb018" xmlns:ns3="7f64e6aa-b736-4f26-84cc-faf427629e48" targetNamespace="http://schemas.microsoft.com/office/2006/metadata/properties" ma:root="true" ma:fieldsID="56318b2539e1210b0e90b2b0ddd42827" ns2:_="" ns3:_="">
    <xsd:import namespace="b0611ad7-5071-45af-a141-b2a079deb018"/>
    <xsd:import namespace="7f64e6aa-b736-4f26-84cc-faf427629e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11ad7-5071-45af-a141-b2a079deb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64e6aa-b736-4f26-84cc-faf427629e4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B82410-4ECD-4A5C-B695-015164DEC20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1BF5F26-63CB-435B-92DF-48B5958ABB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611ad7-5071-45af-a141-b2a079deb018"/>
    <ds:schemaRef ds:uri="7f64e6aa-b736-4f26-84cc-faf427629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E73EB8-E924-4313-8969-E840D8168F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1. HDI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Yu-Chieh Hsu</dc:creator>
  <cp:lastModifiedBy>Yannick Wirz</cp:lastModifiedBy>
  <dcterms:created xsi:type="dcterms:W3CDTF">2025-05-05T20:52:02Z</dcterms:created>
  <dcterms:modified xsi:type="dcterms:W3CDTF">2026-09-16T14:59:14Z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0x0101001AD45DB714643E4A8A8C58D3ECEF2B52</vt:lpwstr>
  </property>
</Properties>
</file>